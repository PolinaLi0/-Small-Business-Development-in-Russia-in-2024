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за 2023 год" sheetId="1" r:id="rId5"/>
    <sheet state="visible" name="данные за 2024 год" sheetId="2" r:id="rId6"/>
    <sheet state="visible" name="сравнение" sheetId="3" r:id="rId7"/>
    <sheet state="visible" name="Банкротства" sheetId="4" r:id="rId8"/>
  </sheets>
  <definedNames/>
  <calcPr/>
</workbook>
</file>

<file path=xl/sharedStrings.xml><?xml version="1.0" encoding="utf-8"?>
<sst xmlns="http://schemas.openxmlformats.org/spreadsheetml/2006/main" count="297" uniqueCount="201">
  <si>
    <t>Всего</t>
  </si>
  <si>
    <t>из них</t>
  </si>
  <si>
    <t>Юридических лиц</t>
  </si>
  <si>
    <t>Индивидуальных предпринимателей</t>
  </si>
  <si>
    <t>6 310 279</t>
  </si>
  <si>
    <t>2 267 103</t>
  </si>
  <si>
    <t>4 043 176</t>
  </si>
  <si>
    <t>Сумма среднесписочной численности работников</t>
  </si>
  <si>
    <t>15 108 577</t>
  </si>
  <si>
    <t>12 376 788</t>
  </si>
  <si>
    <t>2 731 789</t>
  </si>
  <si>
    <t>Имеющие признак "вновь созданные"</t>
  </si>
  <si>
    <t>1 127 497</t>
  </si>
  <si>
    <t>239 610</t>
  </si>
  <si>
    <t>887 887</t>
  </si>
  <si>
    <t>Социальные предприятия</t>
  </si>
  <si>
    <t>10 836</t>
  </si>
  <si>
    <t>3 187</t>
  </si>
  <si>
    <t>7 649</t>
  </si>
  <si>
    <t>Участвующие в программах партнерства</t>
  </si>
  <si>
    <t>Представившие сведения о производимой субъектом МСП продукции</t>
  </si>
  <si>
    <t>1 977</t>
  </si>
  <si>
    <t>1 250</t>
  </si>
  <si>
    <t>Микропредприятия</t>
  </si>
  <si>
    <t>6 076 783</t>
  </si>
  <si>
    <t>2 063 450</t>
  </si>
  <si>
    <t>4 013 333</t>
  </si>
  <si>
    <t>7 265 147</t>
  </si>
  <si>
    <t>5 270 737</t>
  </si>
  <si>
    <t>1 994 410</t>
  </si>
  <si>
    <t>1 127 493</t>
  </si>
  <si>
    <t>239 606</t>
  </si>
  <si>
    <t>10 137</t>
  </si>
  <si>
    <t>2 572</t>
  </si>
  <si>
    <t>7 565</t>
  </si>
  <si>
    <t>Вновь созданные социальные предприятия</t>
  </si>
  <si>
    <t>1 665</t>
  </si>
  <si>
    <t>Малые предприятия</t>
  </si>
  <si>
    <t>214 772</t>
  </si>
  <si>
    <t>185 333</t>
  </si>
  <si>
    <t>29 439</t>
  </si>
  <si>
    <t>5 894 515</t>
  </si>
  <si>
    <t>5 198 190</t>
  </si>
  <si>
    <t>696 325</t>
  </si>
  <si>
    <t>Средние предприятия</t>
  </si>
  <si>
    <t>18 724</t>
  </si>
  <si>
    <t>18 320</t>
  </si>
  <si>
    <t>1 948 915</t>
  </si>
  <si>
    <t>1 907 861</t>
  </si>
  <si>
    <t>41 054</t>
  </si>
  <si>
    <t>6 566 410</t>
  </si>
  <si>
    <t>2 248 072</t>
  </si>
  <si>
    <t>4 318 338</t>
  </si>
  <si>
    <t>15 096 888</t>
  </si>
  <si>
    <t>12 359 182</t>
  </si>
  <si>
    <t>2 737 706</t>
  </si>
  <si>
    <t>1 087 853</t>
  </si>
  <si>
    <t>219 073</t>
  </si>
  <si>
    <t>868 780</t>
  </si>
  <si>
    <t>12 114</t>
  </si>
  <si>
    <t>3 314</t>
  </si>
  <si>
    <t>8 800</t>
  </si>
  <si>
    <t>2 009</t>
  </si>
  <si>
    <t>1 243</t>
  </si>
  <si>
    <t>6 318 086</t>
  </si>
  <si>
    <t>2 032 833</t>
  </si>
  <si>
    <t>4 285 253</t>
  </si>
  <si>
    <t>7 108 159</t>
  </si>
  <si>
    <t>5 118 198</t>
  </si>
  <si>
    <t>1 989 961</t>
  </si>
  <si>
    <t>11 345</t>
  </si>
  <si>
    <t>2 660</t>
  </si>
  <si>
    <t>8 685</t>
  </si>
  <si>
    <t>1 685</t>
  </si>
  <si>
    <t>227 352</t>
  </si>
  <si>
    <t>194 800</t>
  </si>
  <si>
    <t>32 552</t>
  </si>
  <si>
    <t>5 954 238</t>
  </si>
  <si>
    <t>5 256 998</t>
  </si>
  <si>
    <t>697 240</t>
  </si>
  <si>
    <t>20 972</t>
  </si>
  <si>
    <t>20 439</t>
  </si>
  <si>
    <t>2 034 491</t>
  </si>
  <si>
    <t>1 983 986</t>
  </si>
  <si>
    <t>50 505</t>
  </si>
  <si>
    <t>Показатель</t>
  </si>
  <si>
    <t>Юрлица 2023</t>
  </si>
  <si>
    <t>Юрлица 2024</t>
  </si>
  <si>
    <t>ИП 2023</t>
  </si>
  <si>
    <t>ИП 2024</t>
  </si>
  <si>
    <t>Рост Юрлица</t>
  </si>
  <si>
    <t>Рост ИП</t>
  </si>
  <si>
    <t>Доля Бизнеса 2024</t>
  </si>
  <si>
    <t>сортировка в алфавитном порядке</t>
  </si>
  <si>
    <t>Динамика за 2024 год</t>
  </si>
  <si>
    <t>Динамика за 2023 год</t>
  </si>
  <si>
    <t>Количество индивидуальных предпринимателей, исключённых из реестра ЕГРИП по причине банкротства, ед.</t>
  </si>
  <si>
    <t>за 2024 год</t>
  </si>
  <si>
    <t>за 2023 год</t>
  </si>
  <si>
    <t>за 2022 год</t>
  </si>
  <si>
    <t>за 2021 год</t>
  </si>
  <si>
    <t>за 2020 год</t>
  </si>
  <si>
    <t>Российская Федерация</t>
  </si>
  <si>
    <t>2 188</t>
  </si>
  <si>
    <t>1 829</t>
  </si>
  <si>
    <t>1 424</t>
  </si>
  <si>
    <t>1 481</t>
  </si>
  <si>
    <t>1 390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</si>
  <si>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</si>
  <si>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</si>
  <si>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</si>
  <si>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</si>
  <si>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</si>
  <si>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</si>
  <si>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</si>
  <si>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</si>
  <si>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</si>
  <si>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</si>
  <si>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</si>
  <si>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</si>
  <si>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</si>
  <si>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</si>
  <si>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</si>
  <si>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</si>
  <si>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</si>
  <si>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</si>
  <si>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</si>
  <si>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</si>
  <si>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</si>
  <si>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</si>
  <si>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</si>
  <si>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</si>
  <si>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</si>
  <si>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</si>
  <si>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</si>
  <si>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</si>
  <si>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</si>
  <si>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</si>
  <si>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Южный федеральный округ</t>
  </si>
  <si>
    <t>Республика Адыгея (Адыгея)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</si>
  <si>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</si>
  <si>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</si>
  <si>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</si>
  <si>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</si>
  <si>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</si>
  <si>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Крым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</si>
  <si>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</si>
  <si>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</si>
  <si>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</si>
  <si>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</si>
  <si>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-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</si>
  <si>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</si>
  <si>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</si>
  <si>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</si>
  <si>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</si>
  <si>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</si>
  <si>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</si>
  <si>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</si>
  <si>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</si>
  <si>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</si>
  <si>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</si>
  <si>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</si>
  <si>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</si>
  <si>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</si>
  <si>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</si>
  <si>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</si>
  <si>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</si>
  <si>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Пермский край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</si>
  <si>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</si>
  <si>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</si>
  <si>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</si>
  <si>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</si>
  <si>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</si>
  <si>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</si>
  <si>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</si>
  <si>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</si>
  <si>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Ханты-Мансийский автономный округ - Югра</t>
  </si>
  <si>
    <t>Ямало-Ненецкий автономный округ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</si>
  <si>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</si>
  <si>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</si>
  <si>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</si>
  <si>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</si>
  <si>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</si>
  <si>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</si>
  <si>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</si>
  <si>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</si>
  <si>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</si>
  <si>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</si>
  <si>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</si>
  <si>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</si>
  <si>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</si>
  <si>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</si>
  <si>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Приморский край</t>
  </si>
  <si>
    <t>Хабаровский край</t>
  </si>
  <si>
    <t>Амурская область</t>
  </si>
  <si>
    <t>Камчатский край</t>
  </si>
  <si>
    <t>Магаданская область</t>
  </si>
  <si>
    <t>Сахалинская область</t>
  </si>
  <si>
    <t>Забайкальский край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</si>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</sst>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5FFFF"/>
        <bgColor rgb="FFE5FFFF"/>
      </patternFill>
    </fill>
    <fill>
      <patternFill patternType="solid">
        <fgColor rgb="FFBCD6ED"/>
        <bgColor rgb="FFBCD6ED"/>
      </patternFill>
    </fill>
    <fill>
      <patternFill patternType="solid">
        <fgColor rgb="FFFF5459"/>
        <bgColor rgb="FFFF545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FF5459"/>
      </right>
      <top style="thin">
        <color rgb="FF000000"/>
      </top>
      <bottom style="thin">
        <color rgb="FF000000"/>
      </bottom>
    </border>
    <border>
      <left style="thin">
        <color rgb="FFFF5459"/>
      </left>
      <top style="thin">
        <color rgb="FF000000"/>
      </top>
      <bottom style="thin">
        <color rgb="FF000000"/>
      </bottom>
    </border>
    <border>
      <right style="thin">
        <color rgb="FFFF545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top style="thin">
        <color rgb="FF000000"/>
      </top>
      <bottom style="thin">
        <color rgb="FF000000"/>
      </bottom>
    </border>
    <border>
      <right style="thin">
        <color rgb="FFFF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left" readingOrder="0" vertical="bottom"/>
    </xf>
    <xf borderId="5" fillId="2" fontId="1" numFmtId="0" xfId="0" applyAlignment="1" applyBorder="1" applyFill="1" applyFont="1">
      <alignment horizontal="right" readingOrder="0" vertical="bottom"/>
    </xf>
    <xf borderId="5" fillId="0" fontId="1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/>
    </xf>
    <xf borderId="5" fillId="2" fontId="1" numFmtId="0" xfId="0" applyAlignment="1" applyBorder="1" applyFont="1">
      <alignment horizontal="left" readingOrder="0" vertical="bottom"/>
    </xf>
    <xf borderId="0" fillId="2" fontId="3" numFmtId="0" xfId="0" applyFont="1"/>
    <xf borderId="0" fillId="0" fontId="3" numFmtId="0" xfId="0" applyFont="1"/>
    <xf borderId="6" fillId="0" fontId="1" numFmtId="0" xfId="0" applyAlignment="1" applyBorder="1" applyFont="1">
      <alignment horizontal="left" readingOrder="0" vertical="bottom"/>
    </xf>
    <xf borderId="7" fillId="0" fontId="1" numFmtId="0" xfId="0" applyAlignment="1" applyBorder="1" applyFont="1">
      <alignment horizontal="left" readingOrder="0" vertical="top"/>
    </xf>
    <xf borderId="8" fillId="0" fontId="2" numFmtId="0" xfId="0" applyBorder="1" applyFont="1"/>
    <xf borderId="6" fillId="0" fontId="2" numFmtId="0" xfId="0" applyBorder="1" applyFont="1"/>
    <xf borderId="2" fillId="0" fontId="1" numFmtId="0" xfId="0" applyAlignment="1" applyBorder="1" applyFont="1">
      <alignment horizontal="left" readingOrder="0" vertical="top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0" fontId="1" numFmtId="0" xfId="0" applyAlignment="1" applyBorder="1" applyFont="1">
      <alignment horizontal="left" readingOrder="0" vertical="top"/>
    </xf>
    <xf borderId="13" fillId="0" fontId="1" numFmtId="0" xfId="0" applyAlignment="1" applyBorder="1" applyFont="1">
      <alignment horizontal="left" vertical="bottom"/>
    </xf>
    <xf borderId="14" fillId="0" fontId="1" numFmtId="10" xfId="0" applyAlignment="1" applyBorder="1" applyFont="1" applyNumberFormat="1">
      <alignment horizontal="left" readingOrder="0" vertical="top"/>
    </xf>
    <xf borderId="2" fillId="0" fontId="1" numFmtId="0" xfId="0" applyAlignment="1" applyBorder="1" applyFont="1">
      <alignment horizontal="left" vertical="bottom"/>
    </xf>
    <xf borderId="15" fillId="0" fontId="2" numFmtId="0" xfId="0" applyBorder="1" applyFont="1"/>
    <xf borderId="14" fillId="0" fontId="1" numFmtId="10" xfId="0" applyAlignment="1" applyBorder="1" applyFont="1" applyNumberFormat="1">
      <alignment horizontal="right" readingOrder="0" vertical="top"/>
    </xf>
    <xf borderId="5" fillId="0" fontId="1" numFmtId="0" xfId="0" applyAlignment="1" applyBorder="1" applyFont="1">
      <alignment horizontal="right" readingOrder="0" vertical="top"/>
    </xf>
    <xf borderId="5" fillId="3" fontId="1" numFmtId="0" xfId="0" applyAlignment="1" applyBorder="1" applyFill="1" applyFont="1">
      <alignment horizontal="left" readingOrder="0" vertical="top"/>
    </xf>
    <xf borderId="13" fillId="3" fontId="1" numFmtId="0" xfId="0" applyAlignment="1" applyBorder="1" applyFont="1">
      <alignment horizontal="left"/>
    </xf>
    <xf borderId="14" fillId="3" fontId="1" numFmtId="9" xfId="0" applyAlignment="1" applyBorder="1" applyFont="1" applyNumberFormat="1">
      <alignment horizontal="right" readingOrder="0" vertical="top"/>
    </xf>
    <xf borderId="2" fillId="3" fontId="1" numFmtId="0" xfId="0" applyAlignment="1" applyBorder="1" applyFont="1">
      <alignment horizontal="left"/>
    </xf>
    <xf borderId="5" fillId="3" fontId="1" numFmtId="0" xfId="0" applyAlignment="1" applyBorder="1" applyFont="1">
      <alignment horizontal="right" readingOrder="0" vertical="top"/>
    </xf>
    <xf borderId="16" fillId="0" fontId="1" numFmtId="0" xfId="0" applyAlignment="1" applyBorder="1" applyFont="1">
      <alignment horizontal="left" vertical="bottom"/>
    </xf>
    <xf borderId="17" fillId="0" fontId="1" numFmtId="9" xfId="0" applyAlignment="1" applyBorder="1" applyFont="1" applyNumberFormat="1">
      <alignment horizontal="left" readingOrder="0" vertical="top"/>
    </xf>
    <xf borderId="14" fillId="0" fontId="1" numFmtId="9" xfId="0" applyAlignment="1" applyBorder="1" applyFont="1" applyNumberFormat="1">
      <alignment horizontal="right" readingOrder="0" vertical="top"/>
    </xf>
    <xf borderId="16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18" fillId="0" fontId="2" numFmtId="0" xfId="0" applyBorder="1" applyFont="1"/>
    <xf borderId="17" fillId="0" fontId="1" numFmtId="9" xfId="0" applyAlignment="1" applyBorder="1" applyFont="1" applyNumberFormat="1">
      <alignment horizontal="right" readingOrder="0" vertical="top"/>
    </xf>
    <xf borderId="5" fillId="0" fontId="1" numFmtId="0" xfId="0" applyAlignment="1" applyBorder="1" applyFont="1">
      <alignment horizontal="left" vertical="bottom"/>
    </xf>
    <xf borderId="2" fillId="0" fontId="1" numFmtId="9" xfId="0" applyAlignment="1" applyBorder="1" applyFont="1" applyNumberFormat="1">
      <alignment horizontal="right" readingOrder="0" vertical="top"/>
    </xf>
    <xf borderId="13" fillId="0" fontId="1" numFmtId="0" xfId="0" applyAlignment="1" applyBorder="1" applyFont="1">
      <alignment horizontal="left"/>
    </xf>
    <xf borderId="14" fillId="0" fontId="1" numFmtId="9" xfId="0" applyAlignment="1" applyBorder="1" applyFont="1" applyNumberFormat="1">
      <alignment horizontal="left" readingOrder="0" vertical="top"/>
    </xf>
    <xf borderId="5" fillId="0" fontId="1" numFmtId="0" xfId="0" applyAlignment="1" applyBorder="1" applyFont="1">
      <alignment horizontal="left"/>
    </xf>
    <xf borderId="2" fillId="4" fontId="1" numFmtId="0" xfId="0" applyAlignment="1" applyBorder="1" applyFill="1" applyFont="1">
      <alignment horizontal="left"/>
    </xf>
    <xf borderId="9" fillId="0" fontId="1" numFmtId="9" xfId="0" applyAlignment="1" applyBorder="1" applyFont="1" applyNumberFormat="1">
      <alignment horizontal="left" readingOrder="0" vertical="top"/>
    </xf>
    <xf borderId="2" fillId="4" fontId="1" numFmtId="0" xfId="0" applyAlignment="1" applyBorder="1" applyFont="1">
      <alignment horizontal="left" vertical="bottom"/>
    </xf>
    <xf borderId="9" fillId="0" fontId="1" numFmtId="9" xfId="0" applyAlignment="1" applyBorder="1" applyFont="1" applyNumberFormat="1">
      <alignment horizontal="center" readingOrder="0" vertical="top"/>
    </xf>
    <xf borderId="13" fillId="3" fontId="1" numFmtId="0" xfId="0" applyAlignment="1" applyBorder="1" applyFont="1">
      <alignment horizontal="left" vertical="bottom"/>
    </xf>
    <xf borderId="14" fillId="3" fontId="1" numFmtId="9" xfId="0" applyAlignment="1" applyBorder="1" applyFont="1" applyNumberFormat="1">
      <alignment horizontal="left" readingOrder="0" vertical="top"/>
    </xf>
    <xf borderId="2" fillId="3" fontId="1" numFmtId="0" xfId="0" applyAlignment="1" applyBorder="1" applyFont="1">
      <alignment horizontal="left" vertical="bottom"/>
    </xf>
    <xf borderId="2" fillId="3" fontId="1" numFmtId="9" xfId="0" applyAlignment="1" applyBorder="1" applyFont="1" applyNumberFormat="1">
      <alignment horizontal="right" readingOrder="0" vertical="top"/>
    </xf>
    <xf borderId="2" fillId="0" fontId="1" numFmtId="9" xfId="0" applyAlignment="1" applyBorder="1" applyFont="1" applyNumberFormat="1">
      <alignment horizontal="left" readingOrder="0" vertical="top"/>
    </xf>
    <xf borderId="16" fillId="3" fontId="1" numFmtId="0" xfId="0" applyAlignment="1" applyBorder="1" applyFont="1">
      <alignment horizontal="left" vertical="bottom"/>
    </xf>
    <xf borderId="17" fillId="3" fontId="1" numFmtId="9" xfId="0" applyAlignment="1" applyBorder="1" applyFont="1" applyNumberFormat="1">
      <alignment horizontal="left" readingOrder="0" vertical="top"/>
    </xf>
    <xf borderId="9" fillId="0" fontId="1" numFmtId="9" xfId="0" applyAlignment="1" applyBorder="1" applyFont="1" applyNumberFormat="1">
      <alignment horizontal="right" readingOrder="0" vertical="top"/>
    </xf>
    <xf borderId="9" fillId="4" fontId="1" numFmtId="0" xfId="0" applyAlignment="1" applyBorder="1" applyFont="1">
      <alignment horizontal="left"/>
    </xf>
    <xf borderId="9" fillId="4" fontId="1" numFmtId="0" xfId="0" applyAlignment="1" applyBorder="1" applyFont="1">
      <alignment horizontal="left" vertical="bottom"/>
    </xf>
    <xf borderId="3" fillId="0" fontId="1" numFmtId="9" xfId="0" applyAlignment="1" applyBorder="1" applyFont="1" applyNumberFormat="1">
      <alignment horizontal="left" readingOrder="0" vertical="top"/>
    </xf>
    <xf borderId="5" fillId="3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right" readingOrder="0" vertical="top"/>
    </xf>
    <xf borderId="13" fillId="4" fontId="1" numFmtId="0" xfId="0" applyAlignment="1" applyBorder="1" applyFont="1">
      <alignment horizontal="left" vertical="bottom"/>
    </xf>
    <xf borderId="2" fillId="4" fontId="1" numFmtId="9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Рост Юрлица, Рост ИП сравнение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'сравнение'!$G$1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'сравнение'!$G$2:$G$18</c:f>
              <c:numCache/>
            </c:numRef>
          </c:val>
          <c:smooth val="0"/>
        </c:ser>
        <c:ser>
          <c:idx val="1"/>
          <c:order val="1"/>
          <c:tx>
            <c:strRef>
              <c:f>'сравнение'!$H$1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'сравнение'!$H$2:$H$18</c:f>
              <c:numCache/>
            </c:numRef>
          </c:val>
          <c:smooth val="0"/>
        </c:ser>
        <c:axId val="527214703"/>
        <c:axId val="1693104317"/>
      </c:lineChart>
      <c:catAx>
        <c:axId val="52721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104317"/>
      </c:catAx>
      <c:valAx>
        <c:axId val="1693104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214703"/>
      </c:valAx>
    </c:plotArea>
    <c:legend>
      <c:legendPos val="r"/>
      <c:layout>
        <c:manualLayout>
          <c:xMode val="edge"/>
          <c:yMode val="edge"/>
          <c:x val="0.2346337890625001"/>
          <c:y val="0.137241689128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Доли на рынке малого бизнеса</a:t>
            </a:r>
          </a:p>
        </c:rich>
      </c:tx>
      <c:overlay val="0"/>
    </c:title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Прирост банкротств в 2024 году по округам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ЦФО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'Банкротства'!$C$4</c:f>
              <c:numCache/>
            </c:numRef>
          </c:val>
        </c:ser>
        <c:ser>
          <c:idx val="1"/>
          <c:order val="1"/>
          <c:tx>
            <c:v>СЗФО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'Банкротства'!$D$4</c:f>
              <c:numCache/>
            </c:numRef>
          </c:val>
        </c:ser>
        <c:ser>
          <c:idx val="2"/>
          <c:order val="2"/>
          <c:tx>
            <c:v>ЮФО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'Банкротства'!$E$4</c:f>
              <c:numCache/>
            </c:numRef>
          </c:val>
        </c:ser>
        <c:ser>
          <c:idx val="3"/>
          <c:order val="3"/>
          <c:tx>
            <c:v>СКФО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'Банкротства'!$F$4</c:f>
              <c:numCache/>
            </c:numRef>
          </c:val>
        </c:ser>
        <c:ser>
          <c:idx val="4"/>
          <c:order val="4"/>
          <c:tx>
            <c:v>ПФО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'Банкротства'!$G$4</c:f>
              <c:numCache/>
            </c:numRef>
          </c:val>
        </c:ser>
        <c:ser>
          <c:idx val="5"/>
          <c:order val="5"/>
          <c:tx>
            <c:v>УрФО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'Банкротства'!$C$23</c:f>
              <c:numCache/>
            </c:numRef>
          </c:val>
        </c:ser>
        <c:ser>
          <c:idx val="6"/>
          <c:order val="6"/>
          <c:tx>
            <c:v>СФО</c:v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'Банкротства'!$D$23</c:f>
              <c:numCache/>
            </c:numRef>
          </c:val>
        </c:ser>
        <c:ser>
          <c:idx val="7"/>
          <c:order val="7"/>
          <c:tx>
            <c:v>ДФО</c:v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'Банкротства'!$E$23</c:f>
              <c:numCache/>
            </c:numRef>
          </c:val>
        </c:ser>
        <c:ser>
          <c:idx val="8"/>
          <c:order val="8"/>
          <c:val>
            <c:numRef>
              <c:f>'Банкротства'!$F$23</c:f>
              <c:numCache/>
            </c:numRef>
          </c:val>
        </c:ser>
        <c:ser>
          <c:idx val="9"/>
          <c:order val="9"/>
          <c:val>
            <c:numRef>
              <c:f>'Банкротства'!$G$23</c:f>
              <c:numCache/>
            </c:numRef>
          </c:val>
        </c:ser>
        <c:ser>
          <c:idx val="10"/>
          <c:order val="10"/>
          <c:val>
            <c:numRef>
              <c:f>'Банкротства'!$C$34</c:f>
              <c:numCache/>
            </c:numRef>
          </c:val>
        </c:ser>
        <c:ser>
          <c:idx val="11"/>
          <c:order val="11"/>
          <c:val>
            <c:numRef>
              <c:f>'Банкротства'!$D$34</c:f>
              <c:numCache/>
            </c:numRef>
          </c:val>
        </c:ser>
        <c:ser>
          <c:idx val="12"/>
          <c:order val="12"/>
          <c:val>
            <c:numRef>
              <c:f>'Банкротства'!$E$34</c:f>
              <c:numCache/>
            </c:numRef>
          </c:val>
        </c:ser>
        <c:ser>
          <c:idx val="13"/>
          <c:order val="13"/>
          <c:val>
            <c:numRef>
              <c:f>'Банкротства'!$F$34</c:f>
              <c:numCache/>
            </c:numRef>
          </c:val>
        </c:ser>
        <c:ser>
          <c:idx val="14"/>
          <c:order val="14"/>
          <c:val>
            <c:numRef>
              <c:f>'Банкротства'!$G$34</c:f>
              <c:numCache/>
            </c:numRef>
          </c:val>
        </c:ser>
        <c:ser>
          <c:idx val="15"/>
          <c:order val="15"/>
          <c:val>
            <c:numRef>
              <c:f>'Банкротства'!$D$43</c:f>
              <c:numCache/>
            </c:numRef>
          </c:val>
        </c:ser>
        <c:ser>
          <c:idx val="16"/>
          <c:order val="16"/>
          <c:val>
            <c:numRef>
              <c:f>'Банкротства'!$E$43</c:f>
              <c:numCache/>
            </c:numRef>
          </c:val>
        </c:ser>
        <c:ser>
          <c:idx val="17"/>
          <c:order val="17"/>
          <c:val>
            <c:numRef>
              <c:f>'Банкротства'!$F$43</c:f>
              <c:numCache/>
            </c:numRef>
          </c:val>
        </c:ser>
        <c:ser>
          <c:idx val="18"/>
          <c:order val="18"/>
          <c:val>
            <c:numRef>
              <c:f>'Банкротства'!$G$43</c:f>
              <c:numCache/>
            </c:numRef>
          </c:val>
        </c:ser>
        <c:ser>
          <c:idx val="19"/>
          <c:order val="19"/>
          <c:val>
            <c:numRef>
              <c:f>'Банкротства'!$D$51</c:f>
              <c:numCache/>
            </c:numRef>
          </c:val>
        </c:ser>
        <c:ser>
          <c:idx val="20"/>
          <c:order val="20"/>
          <c:val>
            <c:numRef>
              <c:f>'Банкротства'!$E$51</c:f>
              <c:numCache/>
            </c:numRef>
          </c:val>
        </c:ser>
        <c:ser>
          <c:idx val="21"/>
          <c:order val="21"/>
          <c:val>
            <c:numRef>
              <c:f>'Банкротства'!$F$51</c:f>
              <c:numCache/>
            </c:numRef>
          </c:val>
        </c:ser>
        <c:ser>
          <c:idx val="22"/>
          <c:order val="22"/>
          <c:val>
            <c:numRef>
              <c:f>'Банкротства'!$G$51</c:f>
              <c:numCache/>
            </c:numRef>
          </c:val>
        </c:ser>
        <c:ser>
          <c:idx val="23"/>
          <c:order val="23"/>
          <c:val>
            <c:numRef>
              <c:f>'Банкротства'!$D$66</c:f>
              <c:numCache/>
            </c:numRef>
          </c:val>
        </c:ser>
        <c:ser>
          <c:idx val="24"/>
          <c:order val="24"/>
          <c:val>
            <c:numRef>
              <c:f>'Банкротства'!$E$66</c:f>
              <c:numCache/>
            </c:numRef>
          </c:val>
        </c:ser>
        <c:ser>
          <c:idx val="25"/>
          <c:order val="25"/>
          <c:val>
            <c:numRef>
              <c:f>'Банкротства'!$F$66</c:f>
              <c:numCache/>
            </c:numRef>
          </c:val>
        </c:ser>
        <c:ser>
          <c:idx val="26"/>
          <c:order val="26"/>
          <c:val>
            <c:numRef>
              <c:f>'Банкротства'!$G$66</c:f>
              <c:numCache/>
            </c:numRef>
          </c:val>
        </c:ser>
        <c:ser>
          <c:idx val="27"/>
          <c:order val="27"/>
          <c:val>
            <c:numRef>
              <c:f>'Банкротства'!$D$73</c:f>
              <c:numCache/>
            </c:numRef>
          </c:val>
        </c:ser>
        <c:ser>
          <c:idx val="28"/>
          <c:order val="28"/>
          <c:val>
            <c:numRef>
              <c:f>'Банкротства'!$E$73</c:f>
              <c:numCache/>
            </c:numRef>
          </c:val>
        </c:ser>
        <c:ser>
          <c:idx val="29"/>
          <c:order val="29"/>
          <c:val>
            <c:numRef>
              <c:f>'Банкротства'!$F$73</c:f>
              <c:numCache/>
            </c:numRef>
          </c:val>
        </c:ser>
        <c:ser>
          <c:idx val="30"/>
          <c:order val="30"/>
          <c:val>
            <c:numRef>
              <c:f>'Банкротства'!$G$73</c:f>
              <c:numCache/>
            </c:numRef>
          </c:val>
        </c:ser>
        <c:ser>
          <c:idx val="31"/>
          <c:order val="31"/>
          <c:val>
            <c:numRef>
              <c:f>'Банкротства'!$C$84</c:f>
              <c:numCache/>
            </c:numRef>
          </c:val>
        </c:ser>
        <c:ser>
          <c:idx val="32"/>
          <c:order val="32"/>
          <c:val>
            <c:numRef>
              <c:f>'Банкротства'!$D$84</c:f>
              <c:numCache/>
            </c:numRef>
          </c:val>
        </c:ser>
        <c:ser>
          <c:idx val="33"/>
          <c:order val="33"/>
          <c:val>
            <c:numRef>
              <c:f>'Банкротства'!$E$84</c:f>
              <c:numCache/>
            </c:numRef>
          </c:val>
        </c:ser>
        <c:ser>
          <c:idx val="34"/>
          <c:order val="34"/>
          <c:val>
            <c:numRef>
              <c:f>'Банкротства'!$F$84</c:f>
              <c:numCache/>
            </c:numRef>
          </c:val>
        </c:ser>
        <c:ser>
          <c:idx val="35"/>
          <c:order val="35"/>
          <c:val>
            <c:numRef>
              <c:f>'Банкротства'!$G$84</c:f>
              <c:numCache/>
            </c:numRef>
          </c:val>
        </c:ser>
        <c:axId val="654389114"/>
        <c:axId val="1028631469"/>
      </c:barChart>
      <c:catAx>
        <c:axId val="654389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631469"/>
      </c:catAx>
      <c:valAx>
        <c:axId val="1028631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389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32</xdr:row>
      <xdr:rowOff>171450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2447925</xdr:colOff>
      <xdr:row>32</xdr:row>
      <xdr:rowOff>171450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2438400</xdr:colOff>
      <xdr:row>96</xdr:row>
      <xdr:rowOff>76200</xdr:rowOff>
    </xdr:from>
    <xdr:ext cx="7229475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  <col customWidth="1" min="3" max="3" width="25.63"/>
    <col customWidth="1" min="4" max="4" width="36.13"/>
  </cols>
  <sheetData>
    <row r="1">
      <c r="A1" s="1"/>
      <c r="B1" s="2" t="s">
        <v>0</v>
      </c>
      <c r="C1" s="3" t="s">
        <v>1</v>
      </c>
      <c r="D1" s="4"/>
    </row>
    <row r="2">
      <c r="A2" s="5"/>
      <c r="B2" s="5"/>
      <c r="C2" s="6" t="s">
        <v>2</v>
      </c>
      <c r="D2" s="6" t="s">
        <v>3</v>
      </c>
    </row>
    <row r="3">
      <c r="A3" s="7" t="s">
        <v>0</v>
      </c>
      <c r="B3" s="8" t="s">
        <v>4</v>
      </c>
      <c r="C3" s="8" t="s">
        <v>5</v>
      </c>
      <c r="D3" s="8" t="s">
        <v>6</v>
      </c>
    </row>
    <row r="4">
      <c r="A4" s="7" t="s">
        <v>7</v>
      </c>
      <c r="B4" s="9" t="s">
        <v>8</v>
      </c>
      <c r="C4" s="9" t="s">
        <v>9</v>
      </c>
      <c r="D4" s="9" t="s">
        <v>10</v>
      </c>
    </row>
    <row r="5">
      <c r="A5" s="7" t="s">
        <v>11</v>
      </c>
      <c r="B5" s="9" t="s">
        <v>12</v>
      </c>
      <c r="C5" s="9" t="s">
        <v>13</v>
      </c>
      <c r="D5" s="9" t="s">
        <v>14</v>
      </c>
    </row>
    <row r="6">
      <c r="A6" s="7" t="s">
        <v>15</v>
      </c>
      <c r="B6" s="9" t="s">
        <v>16</v>
      </c>
      <c r="C6" s="9" t="s">
        <v>17</v>
      </c>
      <c r="D6" s="9" t="s">
        <v>18</v>
      </c>
    </row>
    <row r="7">
      <c r="A7" s="7" t="s">
        <v>19</v>
      </c>
      <c r="B7" s="9">
        <v>13.0</v>
      </c>
      <c r="C7" s="9">
        <v>11.0</v>
      </c>
      <c r="D7" s="9">
        <v>2.0</v>
      </c>
    </row>
    <row r="8">
      <c r="A8" s="7" t="s">
        <v>20</v>
      </c>
      <c r="B8" s="9" t="s">
        <v>21</v>
      </c>
      <c r="C8" s="9" t="s">
        <v>22</v>
      </c>
      <c r="D8" s="9">
        <v>727.0</v>
      </c>
    </row>
    <row r="9">
      <c r="A9" s="7" t="s">
        <v>23</v>
      </c>
      <c r="B9" s="8" t="s">
        <v>24</v>
      </c>
      <c r="C9" s="8" t="s">
        <v>25</v>
      </c>
      <c r="D9" s="8" t="s">
        <v>26</v>
      </c>
    </row>
    <row r="10">
      <c r="A10" s="7" t="s">
        <v>7</v>
      </c>
      <c r="B10" s="9" t="s">
        <v>27</v>
      </c>
      <c r="C10" s="9" t="s">
        <v>28</v>
      </c>
      <c r="D10" s="9" t="s">
        <v>29</v>
      </c>
    </row>
    <row r="11">
      <c r="A11" s="7" t="s">
        <v>11</v>
      </c>
      <c r="B11" s="9" t="s">
        <v>30</v>
      </c>
      <c r="C11" s="9" t="s">
        <v>31</v>
      </c>
      <c r="D11" s="9" t="s">
        <v>14</v>
      </c>
    </row>
    <row r="12">
      <c r="A12" s="7" t="s">
        <v>15</v>
      </c>
      <c r="B12" s="9" t="s">
        <v>32</v>
      </c>
      <c r="C12" s="9" t="s">
        <v>33</v>
      </c>
      <c r="D12" s="9" t="s">
        <v>34</v>
      </c>
    </row>
    <row r="13">
      <c r="A13" s="7" t="s">
        <v>35</v>
      </c>
      <c r="B13" s="9">
        <v>222.0</v>
      </c>
      <c r="C13" s="9">
        <v>8.0</v>
      </c>
      <c r="D13" s="9">
        <v>214.0</v>
      </c>
    </row>
    <row r="14">
      <c r="A14" s="7" t="s">
        <v>19</v>
      </c>
      <c r="B14" s="9">
        <v>8.0</v>
      </c>
      <c r="C14" s="9">
        <v>6.0</v>
      </c>
      <c r="D14" s="9">
        <v>2.0</v>
      </c>
    </row>
    <row r="15">
      <c r="A15" s="7" t="s">
        <v>20</v>
      </c>
      <c r="B15" s="9" t="s">
        <v>36</v>
      </c>
      <c r="C15" s="9">
        <v>956.0</v>
      </c>
      <c r="D15" s="9">
        <v>709.0</v>
      </c>
    </row>
    <row r="16">
      <c r="A16" s="7" t="s">
        <v>37</v>
      </c>
      <c r="B16" s="8" t="s">
        <v>38</v>
      </c>
      <c r="C16" s="8" t="s">
        <v>39</v>
      </c>
      <c r="D16" s="8" t="s">
        <v>40</v>
      </c>
    </row>
    <row r="17">
      <c r="A17" s="7" t="s">
        <v>7</v>
      </c>
      <c r="B17" s="9" t="s">
        <v>41</v>
      </c>
      <c r="C17" s="9" t="s">
        <v>42</v>
      </c>
      <c r="D17" s="9" t="s">
        <v>43</v>
      </c>
    </row>
    <row r="18">
      <c r="A18" s="7" t="s">
        <v>11</v>
      </c>
      <c r="B18" s="9">
        <v>4.0</v>
      </c>
      <c r="C18" s="9">
        <v>4.0</v>
      </c>
      <c r="D18" s="9">
        <v>0.0</v>
      </c>
    </row>
    <row r="19">
      <c r="A19" s="7" t="s">
        <v>15</v>
      </c>
      <c r="B19" s="9">
        <v>667.0</v>
      </c>
      <c r="C19" s="9">
        <v>583.0</v>
      </c>
      <c r="D19" s="9">
        <v>84.0</v>
      </c>
    </row>
    <row r="20">
      <c r="A20" s="7" t="s">
        <v>35</v>
      </c>
      <c r="B20" s="9">
        <v>0.0</v>
      </c>
      <c r="C20" s="9">
        <v>0.0</v>
      </c>
      <c r="D20" s="9">
        <v>0.0</v>
      </c>
    </row>
    <row r="21">
      <c r="A21" s="7" t="s">
        <v>19</v>
      </c>
      <c r="B21" s="9">
        <v>5.0</v>
      </c>
      <c r="C21" s="9">
        <v>5.0</v>
      </c>
      <c r="D21" s="9">
        <v>0.0</v>
      </c>
    </row>
    <row r="22">
      <c r="A22" s="7" t="s">
        <v>20</v>
      </c>
      <c r="B22" s="9">
        <v>282.0</v>
      </c>
      <c r="C22" s="9">
        <v>264.0</v>
      </c>
      <c r="D22" s="9">
        <v>18.0</v>
      </c>
    </row>
    <row r="23">
      <c r="A23" s="7" t="s">
        <v>44</v>
      </c>
      <c r="B23" s="8" t="s">
        <v>45</v>
      </c>
      <c r="C23" s="8" t="s">
        <v>46</v>
      </c>
      <c r="D23" s="8">
        <v>404.0</v>
      </c>
    </row>
    <row r="24">
      <c r="A24" s="7" t="s">
        <v>7</v>
      </c>
      <c r="B24" s="9" t="s">
        <v>47</v>
      </c>
      <c r="C24" s="9" t="s">
        <v>48</v>
      </c>
      <c r="D24" s="9" t="s">
        <v>49</v>
      </c>
    </row>
    <row r="25">
      <c r="A25" s="7" t="s">
        <v>11</v>
      </c>
      <c r="B25" s="9">
        <v>0.0</v>
      </c>
      <c r="C25" s="9">
        <v>0.0</v>
      </c>
      <c r="D25" s="9">
        <v>0.0</v>
      </c>
    </row>
    <row r="26">
      <c r="A26" s="7" t="s">
        <v>15</v>
      </c>
      <c r="B26" s="9">
        <v>32.0</v>
      </c>
      <c r="C26" s="9">
        <v>32.0</v>
      </c>
      <c r="D26" s="9">
        <v>0.0</v>
      </c>
    </row>
    <row r="27">
      <c r="A27" s="7" t="s">
        <v>35</v>
      </c>
      <c r="B27" s="9">
        <v>0.0</v>
      </c>
      <c r="C27" s="9">
        <v>0.0</v>
      </c>
      <c r="D27" s="9">
        <v>0.0</v>
      </c>
    </row>
    <row r="28">
      <c r="A28" s="7" t="s">
        <v>19</v>
      </c>
      <c r="B28" s="9">
        <v>0.0</v>
      </c>
      <c r="C28" s="9">
        <v>0.0</v>
      </c>
      <c r="D28" s="9">
        <v>0.0</v>
      </c>
    </row>
    <row r="29">
      <c r="A29" s="7" t="s">
        <v>20</v>
      </c>
      <c r="B29" s="9">
        <v>30.0</v>
      </c>
      <c r="C29" s="9">
        <v>30.0</v>
      </c>
      <c r="D29" s="9">
        <v>0.0</v>
      </c>
    </row>
  </sheetData>
  <mergeCells count="3">
    <mergeCell ref="A1:A2"/>
    <mergeCell ref="B1:B2"/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63"/>
    <col customWidth="1" min="3" max="3" width="25.5"/>
    <col customWidth="1" min="4" max="4" width="38.0"/>
  </cols>
  <sheetData>
    <row r="1">
      <c r="A1" s="1"/>
      <c r="B1" s="2" t="s">
        <v>0</v>
      </c>
      <c r="C1" s="3" t="s">
        <v>1</v>
      </c>
      <c r="D1" s="4"/>
    </row>
    <row r="2">
      <c r="A2" s="5"/>
      <c r="B2" s="5"/>
      <c r="C2" s="6" t="s">
        <v>2</v>
      </c>
      <c r="D2" s="6" t="s">
        <v>3</v>
      </c>
    </row>
    <row r="3">
      <c r="A3" s="7" t="s">
        <v>0</v>
      </c>
      <c r="B3" s="8" t="s">
        <v>50</v>
      </c>
      <c r="C3" s="8" t="s">
        <v>51</v>
      </c>
      <c r="D3" s="8" t="s">
        <v>52</v>
      </c>
    </row>
    <row r="4">
      <c r="A4" s="7" t="s">
        <v>7</v>
      </c>
      <c r="B4" s="9" t="s">
        <v>53</v>
      </c>
      <c r="C4" s="9" t="s">
        <v>54</v>
      </c>
      <c r="D4" s="9" t="s">
        <v>55</v>
      </c>
    </row>
    <row r="5">
      <c r="A5" s="7" t="s">
        <v>11</v>
      </c>
      <c r="B5" s="9" t="s">
        <v>56</v>
      </c>
      <c r="C5" s="9" t="s">
        <v>57</v>
      </c>
      <c r="D5" s="9" t="s">
        <v>58</v>
      </c>
    </row>
    <row r="6">
      <c r="A6" s="7" t="s">
        <v>15</v>
      </c>
      <c r="B6" s="9" t="s">
        <v>59</v>
      </c>
      <c r="C6" s="9" t="s">
        <v>60</v>
      </c>
      <c r="D6" s="9" t="s">
        <v>61</v>
      </c>
    </row>
    <row r="7">
      <c r="A7" s="7" t="s">
        <v>19</v>
      </c>
      <c r="B7" s="9">
        <v>11.0</v>
      </c>
      <c r="C7" s="9">
        <v>10.0</v>
      </c>
      <c r="D7" s="9">
        <v>1.0</v>
      </c>
    </row>
    <row r="8">
      <c r="A8" s="7" t="s">
        <v>20</v>
      </c>
      <c r="B8" s="9" t="s">
        <v>62</v>
      </c>
      <c r="C8" s="9" t="s">
        <v>63</v>
      </c>
      <c r="D8" s="9">
        <v>766.0</v>
      </c>
    </row>
    <row r="9">
      <c r="A9" s="7" t="s">
        <v>23</v>
      </c>
      <c r="B9" s="8" t="s">
        <v>64</v>
      </c>
      <c r="C9" s="8" t="s">
        <v>65</v>
      </c>
      <c r="D9" s="8" t="s">
        <v>66</v>
      </c>
    </row>
    <row r="10">
      <c r="A10" s="7" t="s">
        <v>7</v>
      </c>
      <c r="B10" s="9" t="s">
        <v>67</v>
      </c>
      <c r="C10" s="9" t="s">
        <v>68</v>
      </c>
      <c r="D10" s="9" t="s">
        <v>69</v>
      </c>
    </row>
    <row r="11">
      <c r="A11" s="7" t="s">
        <v>11</v>
      </c>
      <c r="B11" s="9" t="s">
        <v>56</v>
      </c>
      <c r="C11" s="9" t="s">
        <v>57</v>
      </c>
      <c r="D11" s="9" t="s">
        <v>58</v>
      </c>
    </row>
    <row r="12">
      <c r="A12" s="7" t="s">
        <v>15</v>
      </c>
      <c r="B12" s="9" t="s">
        <v>70</v>
      </c>
      <c r="C12" s="9" t="s">
        <v>71</v>
      </c>
      <c r="D12" s="9" t="s">
        <v>72</v>
      </c>
    </row>
    <row r="13">
      <c r="A13" s="7" t="s">
        <v>35</v>
      </c>
      <c r="B13" s="9">
        <v>216.0</v>
      </c>
      <c r="C13" s="9">
        <v>8.0</v>
      </c>
      <c r="D13" s="9">
        <v>208.0</v>
      </c>
    </row>
    <row r="14">
      <c r="A14" s="7" t="s">
        <v>19</v>
      </c>
      <c r="B14" s="9">
        <v>6.0</v>
      </c>
      <c r="C14" s="9">
        <v>5.0</v>
      </c>
      <c r="D14" s="9">
        <v>1.0</v>
      </c>
    </row>
    <row r="15">
      <c r="A15" s="7" t="s">
        <v>20</v>
      </c>
      <c r="B15" s="9" t="s">
        <v>73</v>
      </c>
      <c r="C15" s="9">
        <v>940.0</v>
      </c>
      <c r="D15" s="9">
        <v>745.0</v>
      </c>
    </row>
    <row r="16">
      <c r="A16" s="7" t="s">
        <v>37</v>
      </c>
      <c r="B16" s="8" t="s">
        <v>74</v>
      </c>
      <c r="C16" s="8" t="s">
        <v>75</v>
      </c>
      <c r="D16" s="8" t="s">
        <v>76</v>
      </c>
    </row>
    <row r="17">
      <c r="A17" s="7" t="s">
        <v>7</v>
      </c>
      <c r="B17" s="9" t="s">
        <v>77</v>
      </c>
      <c r="C17" s="9" t="s">
        <v>78</v>
      </c>
      <c r="D17" s="9" t="s">
        <v>79</v>
      </c>
    </row>
    <row r="18">
      <c r="A18" s="7" t="s">
        <v>11</v>
      </c>
      <c r="B18" s="9">
        <v>0.0</v>
      </c>
      <c r="C18" s="9">
        <v>0.0</v>
      </c>
      <c r="D18" s="9">
        <v>0.0</v>
      </c>
    </row>
    <row r="19">
      <c r="A19" s="7" t="s">
        <v>15</v>
      </c>
      <c r="B19" s="9">
        <v>737.0</v>
      </c>
      <c r="C19" s="9">
        <v>622.0</v>
      </c>
      <c r="D19" s="9">
        <v>115.0</v>
      </c>
    </row>
    <row r="20">
      <c r="A20" s="7" t="s">
        <v>35</v>
      </c>
      <c r="B20" s="9">
        <v>0.0</v>
      </c>
      <c r="C20" s="9">
        <v>0.0</v>
      </c>
      <c r="D20" s="9">
        <v>0.0</v>
      </c>
    </row>
    <row r="21">
      <c r="A21" s="7" t="s">
        <v>19</v>
      </c>
      <c r="B21" s="9">
        <v>5.0</v>
      </c>
      <c r="C21" s="9">
        <v>5.0</v>
      </c>
      <c r="D21" s="9">
        <v>0.0</v>
      </c>
    </row>
    <row r="22">
      <c r="A22" s="7" t="s">
        <v>20</v>
      </c>
      <c r="B22" s="9">
        <v>295.0</v>
      </c>
      <c r="C22" s="9">
        <v>274.0</v>
      </c>
      <c r="D22" s="9">
        <v>21.0</v>
      </c>
    </row>
    <row r="23">
      <c r="A23" s="7" t="s">
        <v>44</v>
      </c>
      <c r="B23" s="8" t="s">
        <v>80</v>
      </c>
      <c r="C23" s="8" t="s">
        <v>81</v>
      </c>
      <c r="D23" s="8">
        <v>533.0</v>
      </c>
    </row>
    <row r="24">
      <c r="A24" s="7" t="s">
        <v>7</v>
      </c>
      <c r="B24" s="9" t="s">
        <v>82</v>
      </c>
      <c r="C24" s="9" t="s">
        <v>83</v>
      </c>
      <c r="D24" s="9" t="s">
        <v>84</v>
      </c>
    </row>
    <row r="25">
      <c r="A25" s="7" t="s">
        <v>11</v>
      </c>
      <c r="B25" s="9">
        <v>0.0</v>
      </c>
      <c r="C25" s="9">
        <v>0.0</v>
      </c>
      <c r="D25" s="9">
        <v>0.0</v>
      </c>
    </row>
    <row r="26">
      <c r="A26" s="7" t="s">
        <v>15</v>
      </c>
      <c r="B26" s="9">
        <v>32.0</v>
      </c>
      <c r="C26" s="9">
        <v>32.0</v>
      </c>
      <c r="D26" s="9">
        <v>0.0</v>
      </c>
    </row>
    <row r="27">
      <c r="A27" s="7" t="s">
        <v>35</v>
      </c>
      <c r="B27" s="9">
        <v>0.0</v>
      </c>
      <c r="C27" s="9">
        <v>0.0</v>
      </c>
      <c r="D27" s="9">
        <v>0.0</v>
      </c>
    </row>
    <row r="28">
      <c r="A28" s="7" t="s">
        <v>19</v>
      </c>
      <c r="B28" s="9">
        <v>0.0</v>
      </c>
      <c r="C28" s="9">
        <v>0.0</v>
      </c>
      <c r="D28" s="9">
        <v>0.0</v>
      </c>
    </row>
    <row r="29">
      <c r="A29" s="7" t="s">
        <v>20</v>
      </c>
      <c r="B29" s="9">
        <v>29.0</v>
      </c>
      <c r="C29" s="9">
        <v>29.0</v>
      </c>
      <c r="D29" s="9">
        <v>0.0</v>
      </c>
    </row>
  </sheetData>
  <mergeCells count="3">
    <mergeCell ref="A1:A2"/>
    <mergeCell ref="B1:B2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0"/>
    <col customWidth="1" min="10" max="10" width="16.13"/>
  </cols>
  <sheetData>
    <row r="1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89</v>
      </c>
      <c r="G1" s="10" t="s">
        <v>90</v>
      </c>
      <c r="H1" s="10" t="s">
        <v>91</v>
      </c>
      <c r="J1" s="10" t="s">
        <v>92</v>
      </c>
    </row>
    <row r="2">
      <c r="A2" s="11" t="s">
        <v>0</v>
      </c>
      <c r="B2" s="8">
        <v>2267103.0</v>
      </c>
      <c r="C2" s="8">
        <v>2248072.0</v>
      </c>
      <c r="D2" s="8">
        <v>4043176.0</v>
      </c>
      <c r="E2" s="8">
        <v>4318338.0</v>
      </c>
      <c r="G2" s="12">
        <f t="shared" ref="G2:G18" si="1">(C2-B2)/B2*100</f>
        <v>-0.8394413487</v>
      </c>
      <c r="H2" s="12">
        <f t="shared" ref="H2:H16" si="2">(E2-D2)/D2*100</f>
        <v>6.805590457</v>
      </c>
    </row>
    <row r="3">
      <c r="A3" s="7" t="s">
        <v>7</v>
      </c>
      <c r="B3" s="9">
        <v>1.2376788E7</v>
      </c>
      <c r="C3" s="9">
        <v>1.2359182E7</v>
      </c>
      <c r="D3" s="9">
        <v>2731789.0</v>
      </c>
      <c r="E3" s="9">
        <v>2737706.0</v>
      </c>
      <c r="G3" s="13">
        <f t="shared" si="1"/>
        <v>-0.1422501541</v>
      </c>
      <c r="H3" s="13">
        <f t="shared" si="2"/>
        <v>0.2165979876</v>
      </c>
    </row>
    <row r="4">
      <c r="A4" s="7" t="s">
        <v>11</v>
      </c>
      <c r="B4" s="9">
        <v>239610.0</v>
      </c>
      <c r="C4" s="9">
        <v>219073.0</v>
      </c>
      <c r="D4" s="9">
        <v>887887.0</v>
      </c>
      <c r="E4" s="9">
        <v>868780.0</v>
      </c>
      <c r="G4" s="13">
        <f t="shared" si="1"/>
        <v>-8.571011227</v>
      </c>
      <c r="H4" s="13">
        <f t="shared" si="2"/>
        <v>-2.151963031</v>
      </c>
    </row>
    <row r="5">
      <c r="A5" s="7" t="s">
        <v>15</v>
      </c>
      <c r="B5" s="9">
        <v>3187.0</v>
      </c>
      <c r="C5" s="9">
        <v>3314.0</v>
      </c>
      <c r="D5" s="9">
        <v>7649.0</v>
      </c>
      <c r="E5" s="9">
        <v>8800.0</v>
      </c>
      <c r="G5" s="13">
        <f t="shared" si="1"/>
        <v>3.984938814</v>
      </c>
      <c r="H5" s="13">
        <f t="shared" si="2"/>
        <v>15.04771866</v>
      </c>
    </row>
    <row r="6">
      <c r="A6" s="7" t="s">
        <v>19</v>
      </c>
      <c r="B6" s="9">
        <v>11.0</v>
      </c>
      <c r="C6" s="9">
        <v>10.0</v>
      </c>
      <c r="D6" s="9">
        <v>2.0</v>
      </c>
      <c r="E6" s="9">
        <v>1.0</v>
      </c>
      <c r="G6" s="13">
        <f t="shared" si="1"/>
        <v>-9.090909091</v>
      </c>
      <c r="H6" s="13">
        <f t="shared" si="2"/>
        <v>-50</v>
      </c>
    </row>
    <row r="7">
      <c r="A7" s="7" t="s">
        <v>20</v>
      </c>
      <c r="B7" s="9">
        <v>1250.0</v>
      </c>
      <c r="C7" s="9">
        <v>1243.0</v>
      </c>
      <c r="D7" s="9">
        <v>727.0</v>
      </c>
      <c r="E7" s="9">
        <v>766.0</v>
      </c>
      <c r="G7" s="13">
        <f t="shared" si="1"/>
        <v>-0.56</v>
      </c>
      <c r="H7" s="13">
        <f t="shared" si="2"/>
        <v>5.364511692</v>
      </c>
    </row>
    <row r="8">
      <c r="A8" s="11" t="s">
        <v>23</v>
      </c>
      <c r="B8" s="8">
        <v>2063450.0</v>
      </c>
      <c r="C8" s="8">
        <v>2032833.0</v>
      </c>
      <c r="D8" s="8">
        <v>4013333.0</v>
      </c>
      <c r="E8" s="8">
        <v>4285253.0</v>
      </c>
      <c r="G8" s="12">
        <f t="shared" si="1"/>
        <v>-1.483777169</v>
      </c>
      <c r="H8" s="12">
        <f t="shared" si="2"/>
        <v>6.775415845</v>
      </c>
      <c r="J8" s="12">
        <f>(C8+E8)/6566410*100</f>
        <v>96.21826843</v>
      </c>
    </row>
    <row r="9">
      <c r="A9" s="7" t="s">
        <v>7</v>
      </c>
      <c r="B9" s="9">
        <v>5270737.0</v>
      </c>
      <c r="C9" s="9">
        <v>5118198.0</v>
      </c>
      <c r="D9" s="9">
        <v>1994410.0</v>
      </c>
      <c r="E9" s="9">
        <v>1989961.0</v>
      </c>
      <c r="G9" s="13">
        <f t="shared" si="1"/>
        <v>-2.894073447</v>
      </c>
      <c r="H9" s="13">
        <f t="shared" si="2"/>
        <v>-0.2230734904</v>
      </c>
    </row>
    <row r="10">
      <c r="A10" s="7" t="s">
        <v>11</v>
      </c>
      <c r="B10" s="9">
        <v>239606.0</v>
      </c>
      <c r="C10" s="9">
        <v>219073.0</v>
      </c>
      <c r="D10" s="9">
        <v>887887.0</v>
      </c>
      <c r="E10" s="9">
        <v>868780.0</v>
      </c>
      <c r="G10" s="13">
        <f t="shared" si="1"/>
        <v>-8.569484904</v>
      </c>
      <c r="H10" s="13">
        <f t="shared" si="2"/>
        <v>-2.151963031</v>
      </c>
    </row>
    <row r="11">
      <c r="A11" s="7" t="s">
        <v>15</v>
      </c>
      <c r="B11" s="9">
        <v>2572.0</v>
      </c>
      <c r="C11" s="9">
        <v>2660.0</v>
      </c>
      <c r="D11" s="9">
        <v>7565.0</v>
      </c>
      <c r="E11" s="9">
        <v>8685.0</v>
      </c>
      <c r="G11" s="13">
        <f t="shared" si="1"/>
        <v>3.421461897</v>
      </c>
      <c r="H11" s="13">
        <f t="shared" si="2"/>
        <v>14.80502313</v>
      </c>
    </row>
    <row r="12">
      <c r="A12" s="7" t="s">
        <v>35</v>
      </c>
      <c r="B12" s="9">
        <v>8.0</v>
      </c>
      <c r="C12" s="9">
        <v>8.0</v>
      </c>
      <c r="D12" s="9">
        <v>214.0</v>
      </c>
      <c r="E12" s="9">
        <v>208.0</v>
      </c>
      <c r="G12" s="13">
        <f t="shared" si="1"/>
        <v>0</v>
      </c>
      <c r="H12" s="13">
        <f t="shared" si="2"/>
        <v>-2.803738318</v>
      </c>
    </row>
    <row r="13">
      <c r="A13" s="7" t="s">
        <v>19</v>
      </c>
      <c r="B13" s="9">
        <v>6.0</v>
      </c>
      <c r="C13" s="9">
        <v>5.0</v>
      </c>
      <c r="D13" s="9">
        <v>2.0</v>
      </c>
      <c r="E13" s="9">
        <v>1.0</v>
      </c>
      <c r="G13" s="13">
        <f t="shared" si="1"/>
        <v>-16.66666667</v>
      </c>
      <c r="H13" s="13">
        <f t="shared" si="2"/>
        <v>-50</v>
      </c>
    </row>
    <row r="14">
      <c r="A14" s="7" t="s">
        <v>20</v>
      </c>
      <c r="B14" s="9">
        <v>956.0</v>
      </c>
      <c r="C14" s="9">
        <v>940.0</v>
      </c>
      <c r="D14" s="9">
        <v>709.0</v>
      </c>
      <c r="E14" s="9">
        <v>745.0</v>
      </c>
      <c r="G14" s="13">
        <f t="shared" si="1"/>
        <v>-1.673640167</v>
      </c>
      <c r="H14" s="13">
        <f t="shared" si="2"/>
        <v>5.077574048</v>
      </c>
    </row>
    <row r="15">
      <c r="A15" s="11" t="s">
        <v>37</v>
      </c>
      <c r="B15" s="8">
        <v>185333.0</v>
      </c>
      <c r="C15" s="8">
        <v>194800.0</v>
      </c>
      <c r="D15" s="8">
        <v>29439.0</v>
      </c>
      <c r="E15" s="8">
        <v>32552.0</v>
      </c>
      <c r="G15" s="12">
        <f t="shared" si="1"/>
        <v>5.108102712</v>
      </c>
      <c r="H15" s="12">
        <f t="shared" si="2"/>
        <v>10.5744081</v>
      </c>
      <c r="J15" s="12">
        <f>(C15+E15)/6566410*100</f>
        <v>3.462348528</v>
      </c>
    </row>
    <row r="16">
      <c r="A16" s="7" t="s">
        <v>7</v>
      </c>
      <c r="B16" s="9">
        <v>5198190.0</v>
      </c>
      <c r="C16" s="9">
        <v>5256998.0</v>
      </c>
      <c r="D16" s="9">
        <v>696325.0</v>
      </c>
      <c r="E16" s="9">
        <v>697240.0</v>
      </c>
      <c r="G16" s="13">
        <f t="shared" si="1"/>
        <v>1.131316862</v>
      </c>
      <c r="H16" s="13">
        <f t="shared" si="2"/>
        <v>0.1314041575</v>
      </c>
    </row>
    <row r="17">
      <c r="A17" s="7" t="s">
        <v>11</v>
      </c>
      <c r="B17" s="9">
        <v>4.0</v>
      </c>
      <c r="C17" s="9">
        <v>0.0</v>
      </c>
      <c r="D17" s="9">
        <v>0.0</v>
      </c>
      <c r="E17" s="9">
        <v>0.0</v>
      </c>
      <c r="G17" s="13">
        <f t="shared" si="1"/>
        <v>-100</v>
      </c>
    </row>
    <row r="18">
      <c r="A18" s="7" t="s">
        <v>15</v>
      </c>
      <c r="B18" s="9">
        <v>583.0</v>
      </c>
      <c r="C18" s="9">
        <v>622.0</v>
      </c>
      <c r="D18" s="9">
        <v>84.0</v>
      </c>
      <c r="E18" s="9">
        <v>115.0</v>
      </c>
      <c r="G18" s="13">
        <f t="shared" si="1"/>
        <v>6.689536878</v>
      </c>
      <c r="H18" s="13">
        <f>(E18-D18)/D18*100</f>
        <v>36.9047619</v>
      </c>
    </row>
    <row r="19">
      <c r="A19" s="7" t="s">
        <v>35</v>
      </c>
      <c r="B19" s="9">
        <v>0.0</v>
      </c>
      <c r="C19" s="9">
        <v>0.0</v>
      </c>
      <c r="D19" s="9">
        <v>0.0</v>
      </c>
      <c r="E19" s="9">
        <v>0.0</v>
      </c>
    </row>
    <row r="20">
      <c r="A20" s="7" t="s">
        <v>19</v>
      </c>
      <c r="B20" s="9">
        <v>5.0</v>
      </c>
      <c r="C20" s="9">
        <v>5.0</v>
      </c>
      <c r="D20" s="9">
        <v>0.0</v>
      </c>
      <c r="E20" s="9">
        <v>0.0</v>
      </c>
      <c r="G20" s="13">
        <f t="shared" ref="G20:G23" si="3">(C20-B20)/B20*100</f>
        <v>0</v>
      </c>
    </row>
    <row r="21">
      <c r="A21" s="7" t="s">
        <v>20</v>
      </c>
      <c r="B21" s="9">
        <v>264.0</v>
      </c>
      <c r="C21" s="9">
        <v>274.0</v>
      </c>
      <c r="D21" s="9">
        <v>18.0</v>
      </c>
      <c r="E21" s="9">
        <v>21.0</v>
      </c>
      <c r="G21" s="13">
        <f t="shared" si="3"/>
        <v>3.787878788</v>
      </c>
      <c r="H21" s="13">
        <f t="shared" ref="H21:H23" si="4">(E21-D21)/D21*100</f>
        <v>16.66666667</v>
      </c>
    </row>
    <row r="22">
      <c r="A22" s="11" t="s">
        <v>44</v>
      </c>
      <c r="B22" s="8">
        <v>18320.0</v>
      </c>
      <c r="C22" s="8">
        <v>20439.0</v>
      </c>
      <c r="D22" s="8">
        <v>404.0</v>
      </c>
      <c r="E22" s="8">
        <v>533.0</v>
      </c>
      <c r="G22" s="12">
        <f t="shared" si="3"/>
        <v>11.56659389</v>
      </c>
      <c r="H22" s="12">
        <f t="shared" si="4"/>
        <v>31.93069307</v>
      </c>
      <c r="J22" s="12">
        <f>(C22+E22)/6566410*100</f>
        <v>0.3193830419</v>
      </c>
    </row>
    <row r="23">
      <c r="A23" s="7" t="s">
        <v>7</v>
      </c>
      <c r="B23" s="9">
        <v>1907861.0</v>
      </c>
      <c r="C23" s="9">
        <v>1983986.0</v>
      </c>
      <c r="D23" s="9">
        <v>41054.0</v>
      </c>
      <c r="E23" s="9">
        <v>50505.0</v>
      </c>
      <c r="G23" s="13">
        <f t="shared" si="3"/>
        <v>3.990070555</v>
      </c>
      <c r="H23" s="13">
        <f t="shared" si="4"/>
        <v>23.0208993</v>
      </c>
    </row>
    <row r="24">
      <c r="A24" s="7" t="s">
        <v>11</v>
      </c>
      <c r="B24" s="9">
        <v>0.0</v>
      </c>
      <c r="C24" s="9">
        <v>0.0</v>
      </c>
      <c r="D24" s="9">
        <v>0.0</v>
      </c>
      <c r="E24" s="9">
        <v>0.0</v>
      </c>
    </row>
    <row r="25">
      <c r="A25" s="7" t="s">
        <v>15</v>
      </c>
      <c r="B25" s="9">
        <v>32.0</v>
      </c>
      <c r="C25" s="9">
        <v>32.0</v>
      </c>
      <c r="D25" s="9">
        <v>0.0</v>
      </c>
      <c r="E25" s="9">
        <v>0.0</v>
      </c>
      <c r="G25" s="13">
        <f>(C25-B25)/B25*100</f>
        <v>0</v>
      </c>
    </row>
    <row r="26">
      <c r="A26" s="7" t="s">
        <v>35</v>
      </c>
      <c r="B26" s="9">
        <v>0.0</v>
      </c>
      <c r="C26" s="9">
        <v>0.0</v>
      </c>
      <c r="D26" s="9">
        <v>0.0</v>
      </c>
      <c r="E26" s="9">
        <v>0.0</v>
      </c>
    </row>
    <row r="27">
      <c r="A27" s="7" t="s">
        <v>19</v>
      </c>
      <c r="B27" s="9">
        <v>0.0</v>
      </c>
      <c r="C27" s="9">
        <v>0.0</v>
      </c>
      <c r="D27" s="9">
        <v>0.0</v>
      </c>
      <c r="E27" s="9">
        <v>0.0</v>
      </c>
    </row>
    <row r="28">
      <c r="A28" s="7" t="s">
        <v>20</v>
      </c>
      <c r="B28" s="9">
        <v>30.0</v>
      </c>
      <c r="C28" s="9">
        <v>29.0</v>
      </c>
      <c r="D28" s="9">
        <v>0.0</v>
      </c>
      <c r="E28" s="9">
        <v>0.0</v>
      </c>
      <c r="G28" s="13">
        <f>(C28-B28)/B28*100</f>
        <v>-3.333333333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2" max="2" width="13.25"/>
    <col customWidth="1" min="8" max="8" width="19.88"/>
    <col customWidth="1" min="9" max="9" width="5.5"/>
  </cols>
  <sheetData>
    <row r="1">
      <c r="A1" s="14" t="s">
        <v>93</v>
      </c>
      <c r="B1" s="15" t="s">
        <v>94</v>
      </c>
      <c r="C1" s="16"/>
      <c r="D1" s="16"/>
      <c r="E1" s="16"/>
      <c r="F1" s="16"/>
      <c r="G1" s="17"/>
      <c r="H1" s="15" t="s">
        <v>95</v>
      </c>
      <c r="I1" s="16"/>
      <c r="J1" s="16"/>
      <c r="K1" s="16"/>
      <c r="L1" s="16"/>
      <c r="M1" s="16"/>
      <c r="N1" s="17"/>
      <c r="O1" s="18" t="s">
        <v>96</v>
      </c>
      <c r="P1" s="19"/>
      <c r="Q1" s="19"/>
      <c r="R1" s="19"/>
      <c r="S1" s="4"/>
    </row>
    <row r="2">
      <c r="A2" s="20"/>
      <c r="B2" s="21"/>
      <c r="C2" s="22"/>
      <c r="D2" s="22"/>
      <c r="E2" s="22"/>
      <c r="F2" s="22"/>
      <c r="G2" s="20"/>
      <c r="H2" s="21"/>
      <c r="I2" s="22"/>
      <c r="J2" s="22"/>
      <c r="K2" s="22"/>
      <c r="L2" s="22"/>
      <c r="M2" s="22"/>
      <c r="N2" s="20"/>
      <c r="O2" s="23" t="s">
        <v>97</v>
      </c>
      <c r="P2" s="23" t="s">
        <v>98</v>
      </c>
      <c r="Q2" s="23" t="s">
        <v>99</v>
      </c>
      <c r="R2" s="23" t="s">
        <v>100</v>
      </c>
      <c r="S2" s="23" t="s">
        <v>101</v>
      </c>
    </row>
    <row r="3">
      <c r="A3" s="23" t="s">
        <v>102</v>
      </c>
      <c r="B3" s="24"/>
      <c r="C3" s="25">
        <v>0.196</v>
      </c>
      <c r="D3" s="19"/>
      <c r="E3" s="19"/>
      <c r="F3" s="19"/>
      <c r="G3" s="4"/>
      <c r="H3" s="26"/>
      <c r="I3" s="27"/>
      <c r="J3" s="28">
        <v>0.284</v>
      </c>
      <c r="K3" s="19"/>
      <c r="L3" s="19"/>
      <c r="M3" s="19"/>
      <c r="N3" s="4"/>
      <c r="O3" s="29" t="s">
        <v>103</v>
      </c>
      <c r="P3" s="29" t="s">
        <v>104</v>
      </c>
      <c r="Q3" s="29" t="s">
        <v>105</v>
      </c>
      <c r="R3" s="29" t="s">
        <v>106</v>
      </c>
      <c r="S3" s="29" t="s">
        <v>107</v>
      </c>
    </row>
    <row r="4">
      <c r="A4" s="30" t="s">
        <v>108</v>
      </c>
      <c r="B4" s="31"/>
      <c r="C4" s="32">
        <v>0.15</v>
      </c>
      <c r="D4" s="19"/>
      <c r="E4" s="19"/>
      <c r="F4" s="19"/>
      <c r="G4" s="4"/>
      <c r="H4" s="33"/>
      <c r="I4" s="27"/>
      <c r="J4" s="32">
        <v>0.37</v>
      </c>
      <c r="K4" s="19"/>
      <c r="L4" s="19"/>
      <c r="M4" s="19"/>
      <c r="N4" s="4"/>
      <c r="O4" s="34">
        <v>669.0</v>
      </c>
      <c r="P4" s="34">
        <v>580.0</v>
      </c>
      <c r="Q4" s="34">
        <v>423.0</v>
      </c>
      <c r="R4" s="34">
        <v>428.0</v>
      </c>
      <c r="S4" s="34">
        <v>421.0</v>
      </c>
    </row>
    <row r="5">
      <c r="A5" s="23" t="s">
        <v>109</v>
      </c>
      <c r="B5" s="35"/>
      <c r="C5" s="36">
        <v>-0.29</v>
      </c>
      <c r="D5" s="19"/>
      <c r="E5" s="19"/>
      <c r="F5" s="19"/>
      <c r="G5" s="4"/>
      <c r="H5" s="26"/>
      <c r="I5" s="27"/>
      <c r="J5" s="37">
        <v>0.31</v>
      </c>
      <c r="K5" s="19"/>
      <c r="L5" s="19"/>
      <c r="M5" s="19"/>
      <c r="N5" s="4"/>
      <c r="O5" s="29">
        <v>15.0</v>
      </c>
      <c r="P5" s="29">
        <v>21.0</v>
      </c>
      <c r="Q5" s="29">
        <v>16.0</v>
      </c>
      <c r="R5" s="29">
        <v>10.0</v>
      </c>
      <c r="S5" s="29">
        <v>5.0</v>
      </c>
    </row>
    <row r="6">
      <c r="A6" s="23" t="s">
        <v>110</v>
      </c>
      <c r="B6" s="38"/>
      <c r="C6" s="36">
        <v>-0.17</v>
      </c>
      <c r="D6" s="19"/>
      <c r="E6" s="19"/>
      <c r="F6" s="19"/>
      <c r="G6" s="4"/>
      <c r="H6" s="39"/>
      <c r="I6" s="40"/>
      <c r="J6" s="41">
        <v>-0.08</v>
      </c>
      <c r="K6" s="19"/>
      <c r="L6" s="19"/>
      <c r="M6" s="19"/>
      <c r="N6" s="4"/>
      <c r="O6" s="29">
        <v>10.0</v>
      </c>
      <c r="P6" s="29">
        <v>12.0</v>
      </c>
      <c r="Q6" s="29">
        <v>13.0</v>
      </c>
      <c r="R6" s="29">
        <v>6.0</v>
      </c>
      <c r="S6" s="29">
        <v>13.0</v>
      </c>
    </row>
    <row r="7">
      <c r="A7" s="23" t="s">
        <v>111</v>
      </c>
      <c r="B7" s="42"/>
      <c r="C7" s="43">
        <v>0.0</v>
      </c>
      <c r="D7" s="19"/>
      <c r="E7" s="19"/>
      <c r="F7" s="19"/>
      <c r="G7" s="4"/>
      <c r="H7" s="26"/>
      <c r="I7" s="27"/>
      <c r="J7" s="37">
        <v>0.2</v>
      </c>
      <c r="K7" s="19"/>
      <c r="L7" s="19"/>
      <c r="M7" s="19"/>
      <c r="N7" s="4"/>
      <c r="O7" s="29">
        <v>6.0</v>
      </c>
      <c r="P7" s="29">
        <v>6.0</v>
      </c>
      <c r="Q7" s="29">
        <v>5.0</v>
      </c>
      <c r="R7" s="29">
        <v>17.0</v>
      </c>
      <c r="S7" s="29">
        <v>5.0</v>
      </c>
    </row>
    <row r="8">
      <c r="A8" s="23" t="s">
        <v>112</v>
      </c>
      <c r="B8" s="44"/>
      <c r="C8" s="45">
        <v>0.42</v>
      </c>
      <c r="D8" s="19"/>
      <c r="E8" s="19"/>
      <c r="F8" s="19"/>
      <c r="G8" s="4"/>
      <c r="H8" s="39"/>
      <c r="I8" s="40"/>
      <c r="J8" s="41">
        <v>-0.14</v>
      </c>
      <c r="K8" s="19"/>
      <c r="L8" s="19"/>
      <c r="M8" s="19"/>
      <c r="N8" s="4"/>
      <c r="O8" s="29">
        <v>17.0</v>
      </c>
      <c r="P8" s="29">
        <v>12.0</v>
      </c>
      <c r="Q8" s="29">
        <v>14.0</v>
      </c>
      <c r="R8" s="29">
        <v>19.0</v>
      </c>
      <c r="S8" s="29">
        <v>16.0</v>
      </c>
    </row>
    <row r="9">
      <c r="A9" s="23" t="s">
        <v>113</v>
      </c>
      <c r="B9" s="42"/>
      <c r="C9" s="43">
        <v>0.0</v>
      </c>
      <c r="D9" s="19"/>
      <c r="E9" s="19"/>
      <c r="F9" s="19"/>
      <c r="G9" s="4"/>
      <c r="H9" s="26"/>
      <c r="I9" s="27"/>
      <c r="J9" s="37">
        <v>0.4</v>
      </c>
      <c r="K9" s="19"/>
      <c r="L9" s="19"/>
      <c r="M9" s="19"/>
      <c r="N9" s="4"/>
      <c r="O9" s="29">
        <v>7.0</v>
      </c>
      <c r="P9" s="29">
        <v>7.0</v>
      </c>
      <c r="Q9" s="29">
        <v>5.0</v>
      </c>
      <c r="R9" s="29">
        <v>1.0</v>
      </c>
      <c r="S9" s="29">
        <v>6.0</v>
      </c>
    </row>
    <row r="10">
      <c r="A10" s="23" t="s">
        <v>114</v>
      </c>
      <c r="B10" s="46"/>
      <c r="C10" s="47"/>
      <c r="D10" s="48">
        <v>1.29</v>
      </c>
      <c r="E10" s="19"/>
      <c r="F10" s="19"/>
      <c r="G10" s="4"/>
      <c r="H10" s="39"/>
      <c r="I10" s="40"/>
      <c r="J10" s="41">
        <v>-0.13</v>
      </c>
      <c r="K10" s="19"/>
      <c r="L10" s="19"/>
      <c r="M10" s="19"/>
      <c r="N10" s="4"/>
      <c r="O10" s="29">
        <v>16.0</v>
      </c>
      <c r="P10" s="29">
        <v>7.0</v>
      </c>
      <c r="Q10" s="29">
        <v>8.0</v>
      </c>
      <c r="R10" s="29">
        <v>6.0</v>
      </c>
      <c r="S10" s="29">
        <v>9.0</v>
      </c>
    </row>
    <row r="11">
      <c r="A11" s="23" t="s">
        <v>115</v>
      </c>
      <c r="B11" s="35"/>
      <c r="C11" s="36">
        <v>-0.5</v>
      </c>
      <c r="D11" s="19"/>
      <c r="E11" s="19"/>
      <c r="F11" s="19"/>
      <c r="G11" s="4"/>
      <c r="H11" s="49"/>
      <c r="I11" s="4"/>
      <c r="J11" s="43">
        <v>1.4</v>
      </c>
      <c r="K11" s="19"/>
      <c r="L11" s="19"/>
      <c r="M11" s="19"/>
      <c r="N11" s="4"/>
      <c r="O11" s="29">
        <v>6.0</v>
      </c>
      <c r="P11" s="29">
        <v>12.0</v>
      </c>
      <c r="Q11" s="29">
        <v>5.0</v>
      </c>
      <c r="R11" s="29">
        <v>9.0</v>
      </c>
      <c r="S11" s="29">
        <v>3.0</v>
      </c>
    </row>
    <row r="12">
      <c r="A12" s="23" t="s">
        <v>116</v>
      </c>
      <c r="B12" s="44"/>
      <c r="C12" s="37">
        <v>0.6</v>
      </c>
      <c r="D12" s="19"/>
      <c r="E12" s="19"/>
      <c r="F12" s="19"/>
      <c r="G12" s="4"/>
      <c r="H12" s="39"/>
      <c r="I12" s="40"/>
      <c r="J12" s="41">
        <v>-0.44</v>
      </c>
      <c r="K12" s="19"/>
      <c r="L12" s="19"/>
      <c r="M12" s="19"/>
      <c r="N12" s="4"/>
      <c r="O12" s="29">
        <v>8.0</v>
      </c>
      <c r="P12" s="29">
        <v>5.0</v>
      </c>
      <c r="Q12" s="29">
        <v>9.0</v>
      </c>
      <c r="R12" s="29">
        <v>11.0</v>
      </c>
      <c r="S12" s="29">
        <v>18.0</v>
      </c>
    </row>
    <row r="13">
      <c r="A13" s="23" t="s">
        <v>117</v>
      </c>
      <c r="B13" s="42"/>
      <c r="C13" s="49"/>
      <c r="D13" s="48">
        <v>1.2</v>
      </c>
      <c r="E13" s="19"/>
      <c r="F13" s="19"/>
      <c r="G13" s="4"/>
      <c r="H13" s="26"/>
      <c r="I13" s="40"/>
      <c r="J13" s="41">
        <v>-0.29</v>
      </c>
      <c r="K13" s="19"/>
      <c r="L13" s="19"/>
      <c r="M13" s="19"/>
      <c r="N13" s="4"/>
      <c r="O13" s="29">
        <v>11.0</v>
      </c>
      <c r="P13" s="29">
        <v>5.0</v>
      </c>
      <c r="Q13" s="29">
        <v>7.0</v>
      </c>
      <c r="R13" s="29">
        <v>5.0</v>
      </c>
      <c r="S13" s="29">
        <v>2.0</v>
      </c>
    </row>
    <row r="14">
      <c r="A14" s="23" t="s">
        <v>118</v>
      </c>
      <c r="B14" s="44"/>
      <c r="C14" s="37">
        <v>0.12</v>
      </c>
      <c r="D14" s="19"/>
      <c r="E14" s="19"/>
      <c r="F14" s="19"/>
      <c r="G14" s="4"/>
      <c r="H14" s="39"/>
      <c r="I14" s="27"/>
      <c r="J14" s="37">
        <v>0.54</v>
      </c>
      <c r="K14" s="19"/>
      <c r="L14" s="19"/>
      <c r="M14" s="19"/>
      <c r="N14" s="4"/>
      <c r="O14" s="29">
        <v>216.0</v>
      </c>
      <c r="P14" s="29">
        <v>193.0</v>
      </c>
      <c r="Q14" s="29">
        <v>125.0</v>
      </c>
      <c r="R14" s="29">
        <v>132.0</v>
      </c>
      <c r="S14" s="29">
        <v>173.0</v>
      </c>
    </row>
    <row r="15">
      <c r="A15" s="23" t="s">
        <v>119</v>
      </c>
      <c r="B15" s="42"/>
      <c r="C15" s="49"/>
      <c r="D15" s="19"/>
      <c r="E15" s="19"/>
      <c r="F15" s="50">
        <v>4.5</v>
      </c>
      <c r="G15" s="4"/>
      <c r="H15" s="26"/>
      <c r="I15" s="40"/>
      <c r="J15" s="41">
        <v>-0.6</v>
      </c>
      <c r="K15" s="19"/>
      <c r="L15" s="19"/>
      <c r="M15" s="19"/>
      <c r="N15" s="4"/>
      <c r="O15" s="29">
        <v>11.0</v>
      </c>
      <c r="P15" s="29">
        <v>2.0</v>
      </c>
      <c r="Q15" s="29">
        <v>5.0</v>
      </c>
      <c r="R15" s="29">
        <v>3.0</v>
      </c>
      <c r="S15" s="29">
        <v>2.0</v>
      </c>
    </row>
    <row r="16">
      <c r="A16" s="23" t="s">
        <v>120</v>
      </c>
      <c r="B16" s="44"/>
      <c r="C16" s="37">
        <v>0.13</v>
      </c>
      <c r="D16" s="19"/>
      <c r="E16" s="19"/>
      <c r="F16" s="19"/>
      <c r="G16" s="4"/>
      <c r="H16" s="39"/>
      <c r="I16" s="40"/>
      <c r="J16" s="41">
        <v>-0.47</v>
      </c>
      <c r="K16" s="19"/>
      <c r="L16" s="19"/>
      <c r="M16" s="19"/>
      <c r="N16" s="4"/>
      <c r="O16" s="29">
        <v>9.0</v>
      </c>
      <c r="P16" s="29">
        <v>8.0</v>
      </c>
      <c r="Q16" s="29">
        <v>15.0</v>
      </c>
      <c r="R16" s="29">
        <v>13.0</v>
      </c>
      <c r="S16" s="29">
        <v>6.0</v>
      </c>
    </row>
    <row r="17">
      <c r="A17" s="23" t="s">
        <v>121</v>
      </c>
      <c r="B17" s="24"/>
      <c r="C17" s="45">
        <v>0.2</v>
      </c>
      <c r="D17" s="19"/>
      <c r="E17" s="19"/>
      <c r="F17" s="19"/>
      <c r="G17" s="4"/>
      <c r="H17" s="26"/>
      <c r="I17" s="27"/>
      <c r="J17" s="37">
        <v>0.67</v>
      </c>
      <c r="K17" s="19"/>
      <c r="L17" s="19"/>
      <c r="M17" s="19"/>
      <c r="N17" s="4"/>
      <c r="O17" s="29">
        <v>12.0</v>
      </c>
      <c r="P17" s="29">
        <v>10.0</v>
      </c>
      <c r="Q17" s="29">
        <v>6.0</v>
      </c>
      <c r="R17" s="29">
        <v>8.0</v>
      </c>
      <c r="S17" s="29">
        <v>8.0</v>
      </c>
    </row>
    <row r="18">
      <c r="A18" s="23" t="s">
        <v>122</v>
      </c>
      <c r="B18" s="44"/>
      <c r="C18" s="37">
        <v>0.1</v>
      </c>
      <c r="D18" s="19"/>
      <c r="E18" s="19"/>
      <c r="F18" s="19"/>
      <c r="G18" s="4"/>
      <c r="H18" s="47"/>
      <c r="I18" s="4"/>
      <c r="J18" s="43">
        <v>2.33</v>
      </c>
      <c r="K18" s="19"/>
      <c r="L18" s="19"/>
      <c r="M18" s="19"/>
      <c r="N18" s="4"/>
      <c r="O18" s="29">
        <v>11.0</v>
      </c>
      <c r="P18" s="29">
        <v>10.0</v>
      </c>
      <c r="Q18" s="29">
        <v>3.0</v>
      </c>
      <c r="R18" s="29">
        <v>9.0</v>
      </c>
      <c r="S18" s="29">
        <v>24.0</v>
      </c>
    </row>
    <row r="19">
      <c r="A19" s="23" t="s">
        <v>123</v>
      </c>
      <c r="B19" s="24"/>
      <c r="C19" s="45">
        <v>0.22</v>
      </c>
      <c r="D19" s="19"/>
      <c r="E19" s="19"/>
      <c r="F19" s="19"/>
      <c r="G19" s="4"/>
      <c r="H19" s="26"/>
      <c r="I19" s="40"/>
      <c r="J19" s="41">
        <v>-0.4</v>
      </c>
      <c r="K19" s="19"/>
      <c r="L19" s="19"/>
      <c r="M19" s="19"/>
      <c r="N19" s="4"/>
      <c r="O19" s="29">
        <v>11.0</v>
      </c>
      <c r="P19" s="29">
        <v>9.0</v>
      </c>
      <c r="Q19" s="29">
        <v>15.0</v>
      </c>
      <c r="R19" s="29">
        <v>11.0</v>
      </c>
      <c r="S19" s="29">
        <v>27.0</v>
      </c>
    </row>
    <row r="20">
      <c r="A20" s="23" t="s">
        <v>124</v>
      </c>
      <c r="B20" s="38"/>
      <c r="C20" s="36">
        <v>-0.23</v>
      </c>
      <c r="D20" s="19"/>
      <c r="E20" s="19"/>
      <c r="F20" s="19"/>
      <c r="G20" s="4"/>
      <c r="H20" s="39"/>
      <c r="I20" s="27"/>
      <c r="J20" s="37">
        <v>0.44</v>
      </c>
      <c r="K20" s="19"/>
      <c r="L20" s="19"/>
      <c r="M20" s="19"/>
      <c r="N20" s="4"/>
      <c r="O20" s="29">
        <v>10.0</v>
      </c>
      <c r="P20" s="29">
        <v>13.0</v>
      </c>
      <c r="Q20" s="29">
        <v>9.0</v>
      </c>
      <c r="R20" s="29">
        <v>4.0</v>
      </c>
      <c r="S20" s="29">
        <v>2.0</v>
      </c>
    </row>
    <row r="21">
      <c r="A21" s="23" t="s">
        <v>125</v>
      </c>
      <c r="B21" s="43">
        <v>0.0</v>
      </c>
      <c r="C21" s="19"/>
      <c r="D21" s="19"/>
      <c r="E21" s="19"/>
      <c r="F21" s="19"/>
      <c r="G21" s="4"/>
      <c r="H21" s="26"/>
      <c r="I21" s="40"/>
      <c r="J21" s="41">
        <v>-0.27</v>
      </c>
      <c r="K21" s="19"/>
      <c r="L21" s="19"/>
      <c r="M21" s="19"/>
      <c r="N21" s="4"/>
      <c r="O21" s="29">
        <v>8.0</v>
      </c>
      <c r="P21" s="29">
        <v>8.0</v>
      </c>
      <c r="Q21" s="29">
        <v>11.0</v>
      </c>
      <c r="R21" s="29">
        <v>4.0</v>
      </c>
      <c r="S21" s="29">
        <v>19.0</v>
      </c>
    </row>
    <row r="22">
      <c r="A22" s="23" t="s">
        <v>126</v>
      </c>
      <c r="B22" s="24"/>
      <c r="C22" s="37">
        <v>0.19</v>
      </c>
      <c r="D22" s="19"/>
      <c r="E22" s="19"/>
      <c r="F22" s="19"/>
      <c r="G22" s="4"/>
      <c r="H22" s="26"/>
      <c r="I22" s="27"/>
      <c r="J22" s="37">
        <v>0.58</v>
      </c>
      <c r="K22" s="19"/>
      <c r="L22" s="19"/>
      <c r="M22" s="19"/>
      <c r="N22" s="4"/>
      <c r="O22" s="29">
        <v>285.0</v>
      </c>
      <c r="P22" s="29">
        <v>240.0</v>
      </c>
      <c r="Q22" s="29">
        <v>152.0</v>
      </c>
      <c r="R22" s="29">
        <v>160.0</v>
      </c>
      <c r="S22" s="29">
        <v>83.0</v>
      </c>
    </row>
    <row r="23">
      <c r="A23" s="30" t="s">
        <v>127</v>
      </c>
      <c r="B23" s="31"/>
      <c r="C23" s="32">
        <v>0.07</v>
      </c>
      <c r="D23" s="19"/>
      <c r="E23" s="19"/>
      <c r="F23" s="19"/>
      <c r="G23" s="4"/>
      <c r="H23" s="33"/>
      <c r="I23" s="27"/>
      <c r="J23" s="32">
        <v>0.71</v>
      </c>
      <c r="K23" s="19"/>
      <c r="L23" s="19"/>
      <c r="M23" s="19"/>
      <c r="N23" s="4"/>
      <c r="O23" s="34">
        <v>226.0</v>
      </c>
      <c r="P23" s="34">
        <v>212.0</v>
      </c>
      <c r="Q23" s="34">
        <v>124.0</v>
      </c>
      <c r="R23" s="34">
        <v>149.0</v>
      </c>
      <c r="S23" s="34">
        <v>111.0</v>
      </c>
    </row>
    <row r="24">
      <c r="A24" s="23" t="s">
        <v>128</v>
      </c>
      <c r="B24" s="35"/>
      <c r="C24" s="36">
        <v>-0.6</v>
      </c>
      <c r="D24" s="19"/>
      <c r="E24" s="19"/>
      <c r="F24" s="19"/>
      <c r="G24" s="4"/>
      <c r="H24" s="26"/>
      <c r="I24" s="40"/>
      <c r="J24" s="41">
        <v>-0.17</v>
      </c>
      <c r="K24" s="19"/>
      <c r="L24" s="19"/>
      <c r="M24" s="19"/>
      <c r="N24" s="4"/>
      <c r="O24" s="29">
        <v>2.0</v>
      </c>
      <c r="P24" s="29">
        <v>5.0</v>
      </c>
      <c r="Q24" s="29">
        <v>6.0</v>
      </c>
      <c r="R24" s="29">
        <v>3.0</v>
      </c>
      <c r="S24" s="29">
        <v>5.0</v>
      </c>
    </row>
    <row r="25">
      <c r="A25" s="23" t="s">
        <v>129</v>
      </c>
      <c r="B25" s="44"/>
      <c r="C25" s="45">
        <v>0.38</v>
      </c>
      <c r="D25" s="19"/>
      <c r="E25" s="19"/>
      <c r="F25" s="19"/>
      <c r="G25" s="4"/>
      <c r="H25" s="39"/>
      <c r="I25" s="40"/>
      <c r="J25" s="41">
        <v>-0.33</v>
      </c>
      <c r="K25" s="19"/>
      <c r="L25" s="19"/>
      <c r="M25" s="19"/>
      <c r="N25" s="4"/>
      <c r="O25" s="29">
        <v>11.0</v>
      </c>
      <c r="P25" s="29">
        <v>8.0</v>
      </c>
      <c r="Q25" s="29">
        <v>12.0</v>
      </c>
      <c r="R25" s="29">
        <v>9.0</v>
      </c>
      <c r="S25" s="29">
        <v>7.0</v>
      </c>
    </row>
    <row r="26">
      <c r="A26" s="23" t="s">
        <v>130</v>
      </c>
      <c r="B26" s="42"/>
      <c r="C26" s="49"/>
      <c r="D26" s="48">
        <v>1.25</v>
      </c>
      <c r="E26" s="19"/>
      <c r="F26" s="19"/>
      <c r="G26" s="4"/>
      <c r="H26" s="26"/>
      <c r="I26" s="40"/>
      <c r="J26" s="41">
        <v>-0.43</v>
      </c>
      <c r="K26" s="19"/>
      <c r="L26" s="19"/>
      <c r="M26" s="19"/>
      <c r="N26" s="4"/>
      <c r="O26" s="29">
        <v>9.0</v>
      </c>
      <c r="P26" s="29">
        <v>4.0</v>
      </c>
      <c r="Q26" s="29">
        <v>7.0</v>
      </c>
      <c r="R26" s="29">
        <v>8.0</v>
      </c>
      <c r="S26" s="29">
        <v>5.0</v>
      </c>
    </row>
    <row r="27">
      <c r="A27" s="23" t="s">
        <v>131</v>
      </c>
      <c r="B27" s="44"/>
      <c r="C27" s="45">
        <v>0.44</v>
      </c>
      <c r="D27" s="19"/>
      <c r="E27" s="19"/>
      <c r="F27" s="19"/>
      <c r="G27" s="4"/>
      <c r="H27" s="39"/>
      <c r="I27" s="40"/>
      <c r="J27" s="41">
        <v>-0.18</v>
      </c>
      <c r="K27" s="19"/>
      <c r="L27" s="19"/>
      <c r="M27" s="19"/>
      <c r="N27" s="4"/>
      <c r="O27" s="29">
        <v>13.0</v>
      </c>
      <c r="P27" s="29">
        <v>9.0</v>
      </c>
      <c r="Q27" s="29">
        <v>11.0</v>
      </c>
      <c r="R27" s="29">
        <v>15.0</v>
      </c>
      <c r="S27" s="29">
        <v>13.0</v>
      </c>
    </row>
    <row r="28">
      <c r="A28" s="23" t="s">
        <v>132</v>
      </c>
      <c r="B28" s="24"/>
      <c r="C28" s="37">
        <v>0.15</v>
      </c>
      <c r="D28" s="19"/>
      <c r="E28" s="19"/>
      <c r="F28" s="19"/>
      <c r="G28" s="4"/>
      <c r="H28" s="26"/>
      <c r="I28" s="27"/>
      <c r="J28" s="37">
        <v>0.18</v>
      </c>
      <c r="K28" s="19"/>
      <c r="L28" s="19"/>
      <c r="M28" s="19"/>
      <c r="N28" s="4"/>
      <c r="O28" s="29">
        <v>23.0</v>
      </c>
      <c r="P28" s="29">
        <v>20.0</v>
      </c>
      <c r="Q28" s="29">
        <v>17.0</v>
      </c>
      <c r="R28" s="29">
        <v>20.0</v>
      </c>
      <c r="S28" s="29">
        <v>31.0</v>
      </c>
    </row>
    <row r="29">
      <c r="A29" s="23" t="s">
        <v>133</v>
      </c>
      <c r="B29" s="44"/>
      <c r="C29" s="45">
        <v>0.3</v>
      </c>
      <c r="D29" s="19"/>
      <c r="E29" s="19"/>
      <c r="F29" s="19"/>
      <c r="G29" s="4"/>
      <c r="H29" s="47"/>
      <c r="I29" s="4"/>
      <c r="J29" s="43">
        <v>1.56</v>
      </c>
      <c r="K29" s="19"/>
      <c r="L29" s="19"/>
      <c r="M29" s="19"/>
      <c r="N29" s="4"/>
      <c r="O29" s="29">
        <v>30.0</v>
      </c>
      <c r="P29" s="29">
        <v>23.0</v>
      </c>
      <c r="Q29" s="29">
        <v>9.0</v>
      </c>
      <c r="R29" s="29">
        <v>9.0</v>
      </c>
      <c r="S29" s="29">
        <v>9.0</v>
      </c>
    </row>
    <row r="30">
      <c r="A30" s="23" t="s">
        <v>134</v>
      </c>
      <c r="B30" s="42"/>
      <c r="C30" s="43">
        <v>0.0</v>
      </c>
      <c r="D30" s="19"/>
      <c r="E30" s="19"/>
      <c r="F30" s="19"/>
      <c r="G30" s="4"/>
      <c r="H30" s="26"/>
      <c r="I30" s="4"/>
      <c r="J30" s="43">
        <v>0.0</v>
      </c>
      <c r="K30" s="19"/>
      <c r="L30" s="19"/>
      <c r="M30" s="19"/>
      <c r="N30" s="4"/>
      <c r="O30" s="29">
        <v>5.0</v>
      </c>
      <c r="P30" s="29">
        <v>5.0</v>
      </c>
      <c r="Q30" s="29">
        <v>5.0</v>
      </c>
      <c r="R30" s="29">
        <v>5.0</v>
      </c>
      <c r="S30" s="29">
        <v>4.0</v>
      </c>
    </row>
    <row r="31">
      <c r="A31" s="23" t="s">
        <v>135</v>
      </c>
      <c r="B31" s="43">
        <v>0.0</v>
      </c>
      <c r="C31" s="19"/>
      <c r="D31" s="19"/>
      <c r="E31" s="19"/>
      <c r="F31" s="19"/>
      <c r="G31" s="4"/>
      <c r="H31" s="47"/>
      <c r="I31" s="27"/>
      <c r="J31" s="37">
        <v>1.0</v>
      </c>
      <c r="K31" s="19"/>
      <c r="L31" s="19"/>
      <c r="M31" s="19"/>
      <c r="N31" s="4"/>
      <c r="O31" s="29">
        <v>8.0</v>
      </c>
      <c r="P31" s="29">
        <v>8.0</v>
      </c>
      <c r="Q31" s="29">
        <v>4.0</v>
      </c>
      <c r="R31" s="29">
        <v>4.0</v>
      </c>
      <c r="S31" s="29">
        <v>8.0</v>
      </c>
    </row>
    <row r="32">
      <c r="A32" s="23" t="s">
        <v>136</v>
      </c>
      <c r="B32" s="42"/>
      <c r="C32" s="49"/>
      <c r="D32" s="48">
        <v>1.33</v>
      </c>
      <c r="E32" s="19"/>
      <c r="F32" s="19"/>
      <c r="G32" s="4"/>
      <c r="H32" s="26"/>
      <c r="I32" s="40"/>
      <c r="J32" s="41">
        <v>-0.4</v>
      </c>
      <c r="K32" s="19"/>
      <c r="L32" s="19"/>
      <c r="M32" s="19"/>
      <c r="N32" s="4"/>
      <c r="O32" s="29">
        <v>7.0</v>
      </c>
      <c r="P32" s="29">
        <v>3.0</v>
      </c>
      <c r="Q32" s="29">
        <v>5.0</v>
      </c>
      <c r="R32" s="29">
        <v>1.0</v>
      </c>
      <c r="S32" s="29">
        <v>4.0</v>
      </c>
    </row>
    <row r="33">
      <c r="A33" s="23" t="s">
        <v>137</v>
      </c>
      <c r="B33" s="38"/>
      <c r="C33" s="41">
        <v>-0.07</v>
      </c>
      <c r="D33" s="19"/>
      <c r="E33" s="19"/>
      <c r="F33" s="19"/>
      <c r="G33" s="4"/>
      <c r="H33" s="47"/>
      <c r="I33" s="4"/>
      <c r="J33" s="43">
        <v>1.65</v>
      </c>
      <c r="K33" s="19"/>
      <c r="L33" s="19"/>
      <c r="M33" s="19"/>
      <c r="N33" s="4"/>
      <c r="O33" s="29">
        <v>118.0</v>
      </c>
      <c r="P33" s="29">
        <v>127.0</v>
      </c>
      <c r="Q33" s="29">
        <v>48.0</v>
      </c>
      <c r="R33" s="29">
        <v>75.0</v>
      </c>
      <c r="S33" s="29">
        <v>25.0</v>
      </c>
    </row>
    <row r="34">
      <c r="A34" s="30" t="s">
        <v>138</v>
      </c>
      <c r="B34" s="51"/>
      <c r="C34" s="52">
        <v>0.24</v>
      </c>
      <c r="D34" s="19"/>
      <c r="E34" s="19"/>
      <c r="F34" s="19"/>
      <c r="G34" s="4"/>
      <c r="H34" s="53"/>
      <c r="I34" s="4"/>
      <c r="J34" s="54">
        <v>0.06</v>
      </c>
      <c r="K34" s="19"/>
      <c r="L34" s="19"/>
      <c r="M34" s="19"/>
      <c r="N34" s="4"/>
      <c r="O34" s="34">
        <v>282.0</v>
      </c>
      <c r="P34" s="34">
        <v>227.0</v>
      </c>
      <c r="Q34" s="34">
        <v>214.0</v>
      </c>
      <c r="R34" s="34">
        <v>192.0</v>
      </c>
      <c r="S34" s="34">
        <v>153.0</v>
      </c>
    </row>
    <row r="35">
      <c r="A35" s="23" t="s">
        <v>139</v>
      </c>
      <c r="B35" s="38"/>
      <c r="C35" s="36">
        <v>-0.2</v>
      </c>
      <c r="D35" s="19"/>
      <c r="E35" s="19"/>
      <c r="F35" s="19"/>
      <c r="G35" s="4"/>
      <c r="H35" s="39"/>
      <c r="I35" s="4"/>
      <c r="J35" s="43">
        <v>0.0</v>
      </c>
      <c r="K35" s="19"/>
      <c r="L35" s="19"/>
      <c r="M35" s="19"/>
      <c r="N35" s="4"/>
      <c r="O35" s="29">
        <v>8.0</v>
      </c>
      <c r="P35" s="29">
        <v>10.0</v>
      </c>
      <c r="Q35" s="29">
        <v>10.0</v>
      </c>
      <c r="R35" s="29">
        <v>12.0</v>
      </c>
      <c r="S35" s="29">
        <v>3.0</v>
      </c>
    </row>
    <row r="36">
      <c r="A36" s="23" t="s">
        <v>140</v>
      </c>
      <c r="B36" s="42"/>
      <c r="C36" s="49"/>
      <c r="D36" s="19"/>
      <c r="E36" s="19"/>
      <c r="F36" s="50">
        <v>4.0</v>
      </c>
      <c r="G36" s="4"/>
      <c r="H36" s="26"/>
      <c r="I36" s="40"/>
      <c r="J36" s="41">
        <v>-0.67</v>
      </c>
      <c r="K36" s="19"/>
      <c r="L36" s="19"/>
      <c r="M36" s="19"/>
      <c r="N36" s="4"/>
      <c r="O36" s="29">
        <v>5.0</v>
      </c>
      <c r="P36" s="29">
        <v>1.0</v>
      </c>
      <c r="Q36" s="29">
        <v>3.0</v>
      </c>
      <c r="R36" s="29">
        <v>1.0</v>
      </c>
      <c r="S36" s="29">
        <v>3.0</v>
      </c>
    </row>
    <row r="37">
      <c r="A37" s="23" t="s">
        <v>141</v>
      </c>
      <c r="B37" s="24"/>
      <c r="C37" s="37">
        <v>0.58</v>
      </c>
      <c r="D37" s="19"/>
      <c r="E37" s="19"/>
      <c r="F37" s="19"/>
      <c r="G37" s="4"/>
      <c r="H37" s="26"/>
      <c r="I37" s="27"/>
      <c r="J37" s="37">
        <v>0.08</v>
      </c>
      <c r="K37" s="19"/>
      <c r="L37" s="19"/>
      <c r="M37" s="19"/>
      <c r="N37" s="4"/>
      <c r="O37" s="29">
        <v>128.0</v>
      </c>
      <c r="P37" s="29">
        <v>81.0</v>
      </c>
      <c r="Q37" s="29">
        <v>75.0</v>
      </c>
      <c r="R37" s="29">
        <v>64.0</v>
      </c>
      <c r="S37" s="29">
        <v>54.0</v>
      </c>
    </row>
    <row r="38">
      <c r="A38" s="23" t="s">
        <v>142</v>
      </c>
      <c r="B38" s="47"/>
      <c r="C38" s="19"/>
      <c r="D38" s="48">
        <v>1.22</v>
      </c>
      <c r="E38" s="19"/>
      <c r="F38" s="19"/>
      <c r="G38" s="4"/>
      <c r="H38" s="42"/>
      <c r="I38" s="49"/>
      <c r="J38" s="19"/>
      <c r="K38" s="48">
        <v>1.25</v>
      </c>
      <c r="L38" s="19"/>
      <c r="M38" s="19"/>
      <c r="N38" s="4"/>
      <c r="O38" s="29">
        <v>20.0</v>
      </c>
      <c r="P38" s="29">
        <v>9.0</v>
      </c>
      <c r="Q38" s="29">
        <v>4.0</v>
      </c>
      <c r="R38" s="29">
        <v>6.0</v>
      </c>
      <c r="S38" s="29">
        <v>3.0</v>
      </c>
    </row>
    <row r="39">
      <c r="A39" s="23" t="s">
        <v>143</v>
      </c>
      <c r="B39" s="26"/>
      <c r="C39" s="27"/>
      <c r="D39" s="45">
        <v>0.44</v>
      </c>
      <c r="E39" s="19"/>
      <c r="F39" s="19"/>
      <c r="G39" s="4"/>
      <c r="H39" s="42"/>
      <c r="I39" s="55">
        <v>-0.1</v>
      </c>
      <c r="J39" s="19"/>
      <c r="K39" s="19"/>
      <c r="L39" s="19"/>
      <c r="M39" s="19"/>
      <c r="N39" s="4"/>
      <c r="O39" s="29">
        <v>39.0</v>
      </c>
      <c r="P39" s="29">
        <v>27.0</v>
      </c>
      <c r="Q39" s="29">
        <v>30.0</v>
      </c>
      <c r="R39" s="29">
        <v>23.0</v>
      </c>
      <c r="S39" s="29">
        <v>23.0</v>
      </c>
    </row>
    <row r="40">
      <c r="A40" s="23" t="s">
        <v>144</v>
      </c>
      <c r="B40" s="39"/>
      <c r="C40" s="19"/>
      <c r="D40" s="48">
        <v>-0.3</v>
      </c>
      <c r="E40" s="19"/>
      <c r="F40" s="19"/>
      <c r="G40" s="4"/>
      <c r="H40" s="44"/>
      <c r="I40" s="37">
        <v>0.19</v>
      </c>
      <c r="J40" s="19"/>
      <c r="K40" s="19"/>
      <c r="L40" s="19"/>
      <c r="M40" s="19"/>
      <c r="N40" s="4"/>
      <c r="O40" s="29">
        <v>57.0</v>
      </c>
      <c r="P40" s="29">
        <v>82.0</v>
      </c>
      <c r="Q40" s="29">
        <v>69.0</v>
      </c>
      <c r="R40" s="29">
        <v>79.0</v>
      </c>
      <c r="S40" s="29">
        <v>65.0</v>
      </c>
    </row>
    <row r="41">
      <c r="A41" s="23" t="s">
        <v>145</v>
      </c>
      <c r="B41" s="26"/>
      <c r="C41" s="27"/>
      <c r="D41" s="45">
        <v>0.27</v>
      </c>
      <c r="E41" s="19"/>
      <c r="F41" s="19"/>
      <c r="G41" s="4"/>
      <c r="H41" s="35"/>
      <c r="I41" s="36">
        <v>-0.25</v>
      </c>
      <c r="J41" s="19"/>
      <c r="K41" s="19"/>
      <c r="L41" s="19"/>
      <c r="M41" s="19"/>
      <c r="N41" s="4"/>
      <c r="O41" s="29">
        <v>19.0</v>
      </c>
      <c r="P41" s="29">
        <v>15.0</v>
      </c>
      <c r="Q41" s="29">
        <v>20.0</v>
      </c>
      <c r="R41" s="29">
        <v>5.0</v>
      </c>
      <c r="S41" s="29">
        <v>1.0</v>
      </c>
    </row>
    <row r="42">
      <c r="A42" s="23" t="s">
        <v>146</v>
      </c>
      <c r="B42" s="47"/>
      <c r="C42" s="19"/>
      <c r="D42" s="48">
        <v>2.0</v>
      </c>
      <c r="E42" s="19"/>
      <c r="F42" s="19"/>
      <c r="G42" s="4"/>
      <c r="H42" s="38"/>
      <c r="I42" s="36">
        <v>-0.33</v>
      </c>
      <c r="J42" s="19"/>
      <c r="K42" s="19"/>
      <c r="L42" s="19"/>
      <c r="M42" s="19"/>
      <c r="N42" s="4"/>
      <c r="O42" s="29">
        <v>6.0</v>
      </c>
      <c r="P42" s="29">
        <v>2.0</v>
      </c>
      <c r="Q42" s="29">
        <v>3.0</v>
      </c>
      <c r="R42" s="29">
        <v>2.0</v>
      </c>
      <c r="S42" s="29">
        <v>1.0</v>
      </c>
    </row>
    <row r="43">
      <c r="A43" s="30" t="s">
        <v>147</v>
      </c>
      <c r="B43" s="53"/>
      <c r="C43" s="27"/>
      <c r="D43" s="52">
        <v>0.41</v>
      </c>
      <c r="E43" s="19"/>
      <c r="F43" s="19"/>
      <c r="G43" s="4"/>
      <c r="H43" s="56"/>
      <c r="I43" s="57">
        <v>-0.24</v>
      </c>
      <c r="J43" s="19"/>
      <c r="K43" s="19"/>
      <c r="L43" s="19"/>
      <c r="M43" s="19"/>
      <c r="N43" s="4"/>
      <c r="O43" s="34">
        <v>110.0</v>
      </c>
      <c r="P43" s="34">
        <v>78.0</v>
      </c>
      <c r="Q43" s="34">
        <v>102.0</v>
      </c>
      <c r="R43" s="34">
        <v>83.0</v>
      </c>
      <c r="S43" s="34">
        <v>59.0</v>
      </c>
    </row>
    <row r="44">
      <c r="A44" s="23" t="s">
        <v>148</v>
      </c>
      <c r="B44" s="47"/>
      <c r="C44" s="19"/>
      <c r="D44" s="48">
        <v>1.36</v>
      </c>
      <c r="E44" s="19"/>
      <c r="F44" s="19"/>
      <c r="G44" s="4"/>
      <c r="H44" s="38"/>
      <c r="I44" s="36">
        <v>-0.45</v>
      </c>
      <c r="J44" s="19"/>
      <c r="K44" s="19"/>
      <c r="L44" s="19"/>
      <c r="M44" s="19"/>
      <c r="N44" s="4"/>
      <c r="O44" s="29">
        <v>26.0</v>
      </c>
      <c r="P44" s="29">
        <v>11.0</v>
      </c>
      <c r="Q44" s="29">
        <v>20.0</v>
      </c>
      <c r="R44" s="29">
        <v>4.0</v>
      </c>
      <c r="S44" s="29">
        <v>3.0</v>
      </c>
    </row>
    <row r="45">
      <c r="A45" s="23" t="s">
        <v>149</v>
      </c>
      <c r="B45" s="26"/>
      <c r="C45" s="19"/>
      <c r="D45" s="58">
        <v>0.0</v>
      </c>
      <c r="E45" s="19"/>
      <c r="F45" s="19"/>
      <c r="G45" s="4"/>
      <c r="H45" s="42"/>
      <c r="I45" s="49"/>
      <c r="J45" s="19"/>
      <c r="K45" s="48">
        <v>2.0</v>
      </c>
      <c r="L45" s="19"/>
      <c r="M45" s="19"/>
      <c r="N45" s="4"/>
      <c r="O45" s="29">
        <v>3.0</v>
      </c>
      <c r="P45" s="29">
        <v>3.0</v>
      </c>
      <c r="Q45" s="29">
        <v>1.0</v>
      </c>
      <c r="R45" s="29" t="s">
        <v>150</v>
      </c>
      <c r="S45" s="23" t="s">
        <v>150</v>
      </c>
    </row>
    <row r="46">
      <c r="A46" s="23" t="s">
        <v>151</v>
      </c>
      <c r="B46" s="47"/>
      <c r="C46" s="19"/>
      <c r="D46" s="59"/>
      <c r="E46" s="48">
        <v>3.0</v>
      </c>
      <c r="F46" s="19"/>
      <c r="G46" s="4"/>
      <c r="H46" s="38"/>
      <c r="I46" s="36">
        <v>-0.43</v>
      </c>
      <c r="J46" s="19"/>
      <c r="K46" s="19"/>
      <c r="L46" s="19"/>
      <c r="M46" s="19"/>
      <c r="N46" s="4"/>
      <c r="O46" s="29">
        <v>16.0</v>
      </c>
      <c r="P46" s="29">
        <v>4.0</v>
      </c>
      <c r="Q46" s="29">
        <v>7.0</v>
      </c>
      <c r="R46" s="29">
        <v>4.0</v>
      </c>
      <c r="S46" s="29">
        <v>6.0</v>
      </c>
    </row>
    <row r="47">
      <c r="A47" s="23" t="s">
        <v>152</v>
      </c>
      <c r="B47" s="26"/>
      <c r="C47" s="19"/>
      <c r="D47" s="58">
        <v>0.0</v>
      </c>
      <c r="E47" s="19"/>
      <c r="F47" s="19"/>
      <c r="G47" s="4"/>
      <c r="H47" s="35"/>
      <c r="I47" s="36">
        <v>-0.2</v>
      </c>
      <c r="J47" s="19"/>
      <c r="K47" s="19"/>
      <c r="L47" s="19"/>
      <c r="M47" s="19"/>
      <c r="N47" s="4"/>
      <c r="O47" s="29">
        <v>4.0</v>
      </c>
      <c r="P47" s="29">
        <v>4.0</v>
      </c>
      <c r="Q47" s="29">
        <v>5.0</v>
      </c>
      <c r="R47" s="29">
        <v>4.0</v>
      </c>
      <c r="S47" s="29">
        <v>2.0</v>
      </c>
    </row>
    <row r="48">
      <c r="A48" s="23" t="s">
        <v>153</v>
      </c>
      <c r="B48" s="47"/>
      <c r="C48" s="19"/>
      <c r="D48" s="48">
        <v>1.6</v>
      </c>
      <c r="E48" s="19"/>
      <c r="F48" s="19"/>
      <c r="G48" s="4"/>
      <c r="H48" s="44"/>
      <c r="I48" s="37">
        <v>0.25</v>
      </c>
      <c r="J48" s="19"/>
      <c r="K48" s="19"/>
      <c r="L48" s="19"/>
      <c r="M48" s="19"/>
      <c r="N48" s="4"/>
      <c r="O48" s="29">
        <v>13.0</v>
      </c>
      <c r="P48" s="29">
        <v>5.0</v>
      </c>
      <c r="Q48" s="29">
        <v>4.0</v>
      </c>
      <c r="R48" s="29">
        <v>4.0</v>
      </c>
      <c r="S48" s="23" t="s">
        <v>150</v>
      </c>
    </row>
    <row r="49">
      <c r="A49" s="23" t="s">
        <v>154</v>
      </c>
      <c r="B49" s="26"/>
      <c r="C49" s="19"/>
      <c r="D49" s="58">
        <v>0.0</v>
      </c>
      <c r="E49" s="19"/>
      <c r="F49" s="19"/>
      <c r="G49" s="4"/>
      <c r="H49" s="24"/>
      <c r="I49" s="45">
        <v>0.33</v>
      </c>
      <c r="J49" s="19"/>
      <c r="K49" s="19"/>
      <c r="L49" s="19"/>
      <c r="M49" s="19"/>
      <c r="N49" s="4"/>
      <c r="O49" s="29">
        <v>4.0</v>
      </c>
      <c r="P49" s="29">
        <v>4.0</v>
      </c>
      <c r="Q49" s="29">
        <v>3.0</v>
      </c>
      <c r="R49" s="29">
        <v>1.0</v>
      </c>
      <c r="S49" s="23" t="s">
        <v>150</v>
      </c>
    </row>
    <row r="50">
      <c r="A50" s="23" t="s">
        <v>155</v>
      </c>
      <c r="B50" s="39"/>
      <c r="C50" s="19"/>
      <c r="D50" s="58">
        <v>-0.06</v>
      </c>
      <c r="E50" s="19"/>
      <c r="F50" s="19"/>
      <c r="G50" s="4"/>
      <c r="H50" s="38"/>
      <c r="I50" s="36">
        <v>-0.24</v>
      </c>
      <c r="J50" s="19"/>
      <c r="K50" s="19"/>
      <c r="L50" s="19"/>
      <c r="M50" s="19"/>
      <c r="N50" s="4"/>
      <c r="O50" s="29">
        <v>44.0</v>
      </c>
      <c r="P50" s="29">
        <v>47.0</v>
      </c>
      <c r="Q50" s="29">
        <v>62.0</v>
      </c>
      <c r="R50" s="29">
        <v>66.0</v>
      </c>
      <c r="S50" s="29">
        <v>48.0</v>
      </c>
    </row>
    <row r="51">
      <c r="A51" s="30" t="s">
        <v>156</v>
      </c>
      <c r="B51" s="53"/>
      <c r="C51" s="27"/>
      <c r="D51" s="52">
        <v>0.37</v>
      </c>
      <c r="E51" s="19"/>
      <c r="F51" s="19"/>
      <c r="G51" s="4"/>
      <c r="H51" s="51"/>
      <c r="I51" s="52">
        <v>0.34</v>
      </c>
      <c r="J51" s="19"/>
      <c r="K51" s="19"/>
      <c r="L51" s="19"/>
      <c r="M51" s="19"/>
      <c r="N51" s="4"/>
      <c r="O51" s="34">
        <v>384.0</v>
      </c>
      <c r="P51" s="34">
        <v>280.0</v>
      </c>
      <c r="Q51" s="34">
        <v>209.0</v>
      </c>
      <c r="R51" s="34">
        <v>229.0</v>
      </c>
      <c r="S51" s="34">
        <v>231.0</v>
      </c>
    </row>
    <row r="52">
      <c r="A52" s="23" t="s">
        <v>157</v>
      </c>
      <c r="B52" s="47"/>
      <c r="C52" s="19"/>
      <c r="D52" s="48">
        <v>1.29</v>
      </c>
      <c r="E52" s="19"/>
      <c r="F52" s="19"/>
      <c r="G52" s="4"/>
      <c r="H52" s="44"/>
      <c r="I52" s="45">
        <v>0.33</v>
      </c>
      <c r="J52" s="19"/>
      <c r="K52" s="19"/>
      <c r="L52" s="19"/>
      <c r="M52" s="19"/>
      <c r="N52" s="4"/>
      <c r="O52" s="29">
        <v>55.0</v>
      </c>
      <c r="P52" s="29">
        <v>24.0</v>
      </c>
      <c r="Q52" s="29">
        <v>18.0</v>
      </c>
      <c r="R52" s="29">
        <v>16.0</v>
      </c>
      <c r="S52" s="29">
        <v>14.0</v>
      </c>
    </row>
    <row r="53">
      <c r="A53" s="23" t="s">
        <v>158</v>
      </c>
      <c r="B53" s="49"/>
      <c r="C53" s="19"/>
      <c r="D53" s="60"/>
      <c r="E53" s="19"/>
      <c r="F53" s="19"/>
      <c r="G53" s="61">
        <v>5.0</v>
      </c>
      <c r="H53" s="42"/>
      <c r="I53" s="43">
        <v>0.0</v>
      </c>
      <c r="J53" s="19"/>
      <c r="K53" s="19"/>
      <c r="L53" s="19"/>
      <c r="M53" s="19"/>
      <c r="N53" s="4"/>
      <c r="O53" s="29">
        <v>6.0</v>
      </c>
      <c r="P53" s="29">
        <v>1.0</v>
      </c>
      <c r="Q53" s="29">
        <v>1.0</v>
      </c>
      <c r="R53" s="29">
        <v>5.0</v>
      </c>
      <c r="S53" s="29">
        <v>3.0</v>
      </c>
    </row>
    <row r="54">
      <c r="A54" s="23" t="s">
        <v>159</v>
      </c>
      <c r="B54" s="39"/>
      <c r="C54" s="27"/>
      <c r="D54" s="45">
        <v>0.5</v>
      </c>
      <c r="E54" s="19"/>
      <c r="F54" s="19"/>
      <c r="G54" s="4"/>
      <c r="H54" s="38"/>
      <c r="I54" s="36">
        <v>-0.33</v>
      </c>
      <c r="J54" s="19"/>
      <c r="K54" s="19"/>
      <c r="L54" s="19"/>
      <c r="M54" s="19"/>
      <c r="N54" s="4"/>
      <c r="O54" s="29">
        <v>3.0</v>
      </c>
      <c r="P54" s="29">
        <v>2.0</v>
      </c>
      <c r="Q54" s="29">
        <v>3.0</v>
      </c>
      <c r="R54" s="29">
        <v>5.0</v>
      </c>
      <c r="S54" s="29">
        <v>5.0</v>
      </c>
    </row>
    <row r="55">
      <c r="A55" s="23" t="s">
        <v>160</v>
      </c>
      <c r="B55" s="26"/>
      <c r="C55" s="27"/>
      <c r="D55" s="45">
        <v>0.43</v>
      </c>
      <c r="E55" s="19"/>
      <c r="F55" s="19"/>
      <c r="G55" s="4"/>
      <c r="H55" s="24"/>
      <c r="I55" s="37">
        <v>0.82</v>
      </c>
      <c r="J55" s="19"/>
      <c r="K55" s="19"/>
      <c r="L55" s="19"/>
      <c r="M55" s="19"/>
      <c r="N55" s="4"/>
      <c r="O55" s="29">
        <v>73.0</v>
      </c>
      <c r="P55" s="29">
        <v>51.0</v>
      </c>
      <c r="Q55" s="29">
        <v>28.0</v>
      </c>
      <c r="R55" s="29">
        <v>25.0</v>
      </c>
      <c r="S55" s="29">
        <v>28.0</v>
      </c>
    </row>
    <row r="56">
      <c r="A56" s="23" t="s">
        <v>161</v>
      </c>
      <c r="B56" s="39"/>
      <c r="C56" s="27"/>
      <c r="D56" s="45">
        <v>0.18</v>
      </c>
      <c r="E56" s="19"/>
      <c r="F56" s="19"/>
      <c r="G56" s="4"/>
      <c r="H56" s="44"/>
      <c r="I56" s="45">
        <v>0.38</v>
      </c>
      <c r="J56" s="19"/>
      <c r="K56" s="19"/>
      <c r="L56" s="19"/>
      <c r="M56" s="19"/>
      <c r="N56" s="4"/>
      <c r="O56" s="29">
        <v>13.0</v>
      </c>
      <c r="P56" s="29">
        <v>11.0</v>
      </c>
      <c r="Q56" s="29">
        <v>8.0</v>
      </c>
      <c r="R56" s="29">
        <v>7.0</v>
      </c>
      <c r="S56" s="29">
        <v>9.0</v>
      </c>
    </row>
    <row r="57">
      <c r="A57" s="23" t="s">
        <v>162</v>
      </c>
      <c r="B57" s="49"/>
      <c r="C57" s="27"/>
      <c r="D57" s="45">
        <v>1.0</v>
      </c>
      <c r="E57" s="19"/>
      <c r="F57" s="19"/>
      <c r="G57" s="4"/>
      <c r="H57" s="35"/>
      <c r="I57" s="36">
        <v>-0.42</v>
      </c>
      <c r="J57" s="19"/>
      <c r="K57" s="19"/>
      <c r="L57" s="19"/>
      <c r="M57" s="19"/>
      <c r="N57" s="4"/>
      <c r="O57" s="29">
        <v>14.0</v>
      </c>
      <c r="P57" s="29">
        <v>7.0</v>
      </c>
      <c r="Q57" s="29">
        <v>12.0</v>
      </c>
      <c r="R57" s="29">
        <v>8.0</v>
      </c>
      <c r="S57" s="29">
        <v>7.0</v>
      </c>
    </row>
    <row r="58">
      <c r="A58" s="23" t="s">
        <v>163</v>
      </c>
      <c r="B58" s="39"/>
      <c r="C58" s="27"/>
      <c r="D58" s="45">
        <v>0.11</v>
      </c>
      <c r="E58" s="19"/>
      <c r="F58" s="19"/>
      <c r="G58" s="4"/>
      <c r="H58" s="46"/>
      <c r="I58" s="47"/>
      <c r="J58" s="19"/>
      <c r="K58" s="48">
        <v>1.25</v>
      </c>
      <c r="L58" s="19"/>
      <c r="M58" s="19"/>
      <c r="N58" s="4"/>
      <c r="O58" s="29">
        <v>10.0</v>
      </c>
      <c r="P58" s="29">
        <v>9.0</v>
      </c>
      <c r="Q58" s="29">
        <v>4.0</v>
      </c>
      <c r="R58" s="29">
        <v>10.0</v>
      </c>
      <c r="S58" s="29">
        <v>10.0</v>
      </c>
    </row>
    <row r="59">
      <c r="A59" s="23" t="s">
        <v>164</v>
      </c>
      <c r="B59" s="26"/>
      <c r="C59" s="19"/>
      <c r="D59" s="48">
        <v>-0.29</v>
      </c>
      <c r="E59" s="19"/>
      <c r="F59" s="19"/>
      <c r="G59" s="4"/>
      <c r="H59" s="42"/>
      <c r="I59" s="43">
        <v>0.0</v>
      </c>
      <c r="J59" s="19"/>
      <c r="K59" s="19"/>
      <c r="L59" s="19"/>
      <c r="M59" s="19"/>
      <c r="N59" s="4"/>
      <c r="O59" s="29">
        <v>25.0</v>
      </c>
      <c r="P59" s="29">
        <v>35.0</v>
      </c>
      <c r="Q59" s="29">
        <v>35.0</v>
      </c>
      <c r="R59" s="29">
        <v>32.0</v>
      </c>
      <c r="S59" s="29">
        <v>15.0</v>
      </c>
    </row>
    <row r="60">
      <c r="A60" s="23" t="s">
        <v>165</v>
      </c>
      <c r="B60" s="39"/>
      <c r="C60" s="27"/>
      <c r="D60" s="45">
        <v>0.48</v>
      </c>
      <c r="E60" s="19"/>
      <c r="F60" s="19"/>
      <c r="G60" s="4"/>
      <c r="H60" s="44"/>
      <c r="I60" s="37">
        <v>0.79</v>
      </c>
      <c r="J60" s="19"/>
      <c r="K60" s="19"/>
      <c r="L60" s="19"/>
      <c r="M60" s="19"/>
      <c r="N60" s="4"/>
      <c r="O60" s="29">
        <v>37.0</v>
      </c>
      <c r="P60" s="29">
        <v>25.0</v>
      </c>
      <c r="Q60" s="29">
        <v>14.0</v>
      </c>
      <c r="R60" s="29">
        <v>18.0</v>
      </c>
      <c r="S60" s="29">
        <v>18.0</v>
      </c>
    </row>
    <row r="61">
      <c r="A61" s="23" t="s">
        <v>166</v>
      </c>
      <c r="B61" s="26"/>
      <c r="C61" s="19"/>
      <c r="D61" s="58">
        <v>0.0</v>
      </c>
      <c r="E61" s="19"/>
      <c r="F61" s="19"/>
      <c r="G61" s="4"/>
      <c r="H61" s="24"/>
      <c r="I61" s="37">
        <v>0.18</v>
      </c>
      <c r="J61" s="19"/>
      <c r="K61" s="19"/>
      <c r="L61" s="19"/>
      <c r="M61" s="19"/>
      <c r="N61" s="4"/>
      <c r="O61" s="29">
        <v>13.0</v>
      </c>
      <c r="P61" s="29">
        <v>13.0</v>
      </c>
      <c r="Q61" s="29">
        <v>11.0</v>
      </c>
      <c r="R61" s="29">
        <v>18.0</v>
      </c>
      <c r="S61" s="29">
        <v>21.0</v>
      </c>
    </row>
    <row r="62">
      <c r="A62" s="23" t="s">
        <v>167</v>
      </c>
      <c r="B62" s="39"/>
      <c r="C62" s="27"/>
      <c r="D62" s="45">
        <v>0.63</v>
      </c>
      <c r="E62" s="19"/>
      <c r="F62" s="19"/>
      <c r="G62" s="4"/>
      <c r="H62" s="38"/>
      <c r="I62" s="36">
        <v>-0.2</v>
      </c>
      <c r="J62" s="19"/>
      <c r="K62" s="19"/>
      <c r="L62" s="19"/>
      <c r="M62" s="19"/>
      <c r="N62" s="4"/>
      <c r="O62" s="29">
        <v>39.0</v>
      </c>
      <c r="P62" s="29">
        <v>24.0</v>
      </c>
      <c r="Q62" s="29">
        <v>30.0</v>
      </c>
      <c r="R62" s="29">
        <v>26.0</v>
      </c>
      <c r="S62" s="29">
        <v>39.0</v>
      </c>
    </row>
    <row r="63">
      <c r="A63" s="23" t="s">
        <v>168</v>
      </c>
      <c r="B63" s="26"/>
      <c r="C63" s="27"/>
      <c r="D63" s="45">
        <v>0.31</v>
      </c>
      <c r="E63" s="19"/>
      <c r="F63" s="19"/>
      <c r="G63" s="4"/>
      <c r="H63" s="42"/>
      <c r="I63" s="49"/>
      <c r="J63" s="19"/>
      <c r="K63" s="48">
        <v>1.57</v>
      </c>
      <c r="L63" s="19"/>
      <c r="M63" s="19"/>
      <c r="N63" s="4"/>
      <c r="O63" s="29">
        <v>47.0</v>
      </c>
      <c r="P63" s="29">
        <v>36.0</v>
      </c>
      <c r="Q63" s="29">
        <v>14.0</v>
      </c>
      <c r="R63" s="29">
        <v>26.0</v>
      </c>
      <c r="S63" s="29">
        <v>15.0</v>
      </c>
    </row>
    <row r="64">
      <c r="A64" s="23" t="s">
        <v>169</v>
      </c>
      <c r="B64" s="26"/>
      <c r="C64" s="27"/>
      <c r="D64" s="37">
        <v>0.07</v>
      </c>
      <c r="E64" s="19"/>
      <c r="F64" s="19"/>
      <c r="G64" s="4"/>
      <c r="H64" s="24"/>
      <c r="I64" s="37">
        <v>0.5</v>
      </c>
      <c r="J64" s="19"/>
      <c r="K64" s="19"/>
      <c r="L64" s="19"/>
      <c r="M64" s="19"/>
      <c r="N64" s="4"/>
      <c r="O64" s="29">
        <v>29.0</v>
      </c>
      <c r="P64" s="29">
        <v>27.0</v>
      </c>
      <c r="Q64" s="29">
        <v>18.0</v>
      </c>
      <c r="R64" s="29">
        <v>24.0</v>
      </c>
      <c r="S64" s="29">
        <v>23.0</v>
      </c>
    </row>
    <row r="65">
      <c r="A65" s="23" t="s">
        <v>170</v>
      </c>
      <c r="B65" s="39"/>
      <c r="C65" s="27"/>
      <c r="D65" s="45">
        <v>0.33</v>
      </c>
      <c r="E65" s="19"/>
      <c r="F65" s="19"/>
      <c r="G65" s="4"/>
      <c r="H65" s="46"/>
      <c r="I65" s="43">
        <v>0.15</v>
      </c>
      <c r="J65" s="19"/>
      <c r="K65" s="19"/>
      <c r="L65" s="19"/>
      <c r="M65" s="19"/>
      <c r="N65" s="4"/>
      <c r="O65" s="29">
        <v>20.0</v>
      </c>
      <c r="P65" s="29">
        <v>15.0</v>
      </c>
      <c r="Q65" s="29">
        <v>13.0</v>
      </c>
      <c r="R65" s="29">
        <v>9.0</v>
      </c>
      <c r="S65" s="29">
        <v>24.0</v>
      </c>
    </row>
    <row r="66">
      <c r="A66" s="30" t="s">
        <v>171</v>
      </c>
      <c r="B66" s="53"/>
      <c r="C66" s="27"/>
      <c r="D66" s="52">
        <v>0.13</v>
      </c>
      <c r="E66" s="19"/>
      <c r="F66" s="19"/>
      <c r="G66" s="4"/>
      <c r="H66" s="51"/>
      <c r="I66" s="32">
        <v>0.48</v>
      </c>
      <c r="J66" s="19"/>
      <c r="K66" s="19"/>
      <c r="L66" s="19"/>
      <c r="M66" s="19"/>
      <c r="N66" s="4"/>
      <c r="O66" s="34">
        <v>234.0</v>
      </c>
      <c r="P66" s="34">
        <v>207.0</v>
      </c>
      <c r="Q66" s="34">
        <v>140.0</v>
      </c>
      <c r="R66" s="34">
        <v>185.0</v>
      </c>
      <c r="S66" s="34">
        <v>126.0</v>
      </c>
    </row>
    <row r="67">
      <c r="A67" s="23" t="s">
        <v>172</v>
      </c>
      <c r="B67" s="26"/>
      <c r="C67" s="19"/>
      <c r="D67" s="48">
        <v>-0.25</v>
      </c>
      <c r="E67" s="19"/>
      <c r="F67" s="19"/>
      <c r="G67" s="4"/>
      <c r="H67" s="42"/>
      <c r="I67" s="49"/>
      <c r="J67" s="19"/>
      <c r="K67" s="19"/>
      <c r="L67" s="19"/>
      <c r="M67" s="48">
        <v>3.0</v>
      </c>
      <c r="N67" s="4"/>
      <c r="O67" s="29">
        <v>9.0</v>
      </c>
      <c r="P67" s="29">
        <v>12.0</v>
      </c>
      <c r="Q67" s="29">
        <v>3.0</v>
      </c>
      <c r="R67" s="29">
        <v>9.0</v>
      </c>
      <c r="S67" s="29">
        <v>11.0</v>
      </c>
    </row>
    <row r="68">
      <c r="A68" s="23" t="s">
        <v>173</v>
      </c>
      <c r="B68" s="39"/>
      <c r="C68" s="19"/>
      <c r="D68" s="48">
        <v>-0.16</v>
      </c>
      <c r="E68" s="19"/>
      <c r="F68" s="19"/>
      <c r="G68" s="4"/>
      <c r="H68" s="46"/>
      <c r="I68" s="47"/>
      <c r="J68" s="19"/>
      <c r="K68" s="48">
        <v>1.4</v>
      </c>
      <c r="L68" s="19"/>
      <c r="M68" s="19"/>
      <c r="N68" s="4"/>
      <c r="O68" s="29">
        <v>85.0</v>
      </c>
      <c r="P68" s="29">
        <v>101.0</v>
      </c>
      <c r="Q68" s="29">
        <v>42.0</v>
      </c>
      <c r="R68" s="29">
        <v>73.0</v>
      </c>
      <c r="S68" s="29">
        <v>42.0</v>
      </c>
    </row>
    <row r="69">
      <c r="A69" s="23" t="s">
        <v>174</v>
      </c>
      <c r="B69" s="26"/>
      <c r="C69" s="27"/>
      <c r="D69" s="45">
        <v>0.19</v>
      </c>
      <c r="E69" s="19"/>
      <c r="F69" s="19"/>
      <c r="G69" s="4"/>
      <c r="H69" s="24"/>
      <c r="I69" s="37">
        <v>0.63</v>
      </c>
      <c r="J69" s="19"/>
      <c r="K69" s="19"/>
      <c r="L69" s="19"/>
      <c r="M69" s="19"/>
      <c r="N69" s="4"/>
      <c r="O69" s="29">
        <v>31.0</v>
      </c>
      <c r="P69" s="29">
        <v>26.0</v>
      </c>
      <c r="Q69" s="29">
        <v>16.0</v>
      </c>
      <c r="R69" s="29">
        <v>29.0</v>
      </c>
      <c r="S69" s="29">
        <v>16.0</v>
      </c>
    </row>
    <row r="70">
      <c r="A70" s="23" t="s">
        <v>175</v>
      </c>
      <c r="B70" s="26"/>
      <c r="C70" s="27"/>
      <c r="D70" s="45">
        <v>0.16</v>
      </c>
      <c r="E70" s="19"/>
      <c r="F70" s="19"/>
      <c r="G70" s="4"/>
      <c r="H70" s="35"/>
      <c r="I70" s="36">
        <v>-0.1</v>
      </c>
      <c r="J70" s="19"/>
      <c r="K70" s="19"/>
      <c r="L70" s="19"/>
      <c r="M70" s="19"/>
      <c r="N70" s="4"/>
      <c r="O70" s="29">
        <v>51.0</v>
      </c>
      <c r="P70" s="29">
        <v>44.0</v>
      </c>
      <c r="Q70" s="29">
        <v>49.0</v>
      </c>
      <c r="R70" s="29">
        <v>32.0</v>
      </c>
      <c r="S70" s="29">
        <v>22.0</v>
      </c>
    </row>
    <row r="71">
      <c r="A71" s="23" t="s">
        <v>176</v>
      </c>
      <c r="B71" s="49"/>
      <c r="C71" s="19"/>
      <c r="D71" s="48">
        <v>1.67</v>
      </c>
      <c r="E71" s="19"/>
      <c r="F71" s="19"/>
      <c r="G71" s="4"/>
      <c r="H71" s="35"/>
      <c r="I71" s="36">
        <v>-0.31</v>
      </c>
      <c r="J71" s="19"/>
      <c r="K71" s="19"/>
      <c r="L71" s="19"/>
      <c r="M71" s="19"/>
      <c r="N71" s="4"/>
      <c r="O71" s="29">
        <v>48.0</v>
      </c>
      <c r="P71" s="29">
        <v>18.0</v>
      </c>
      <c r="Q71" s="29">
        <v>26.0</v>
      </c>
      <c r="R71" s="29">
        <v>14.0</v>
      </c>
      <c r="S71" s="29">
        <v>25.0</v>
      </c>
    </row>
    <row r="72">
      <c r="A72" s="23" t="s">
        <v>177</v>
      </c>
      <c r="B72" s="26"/>
      <c r="C72" s="27"/>
      <c r="D72" s="45">
        <v>0.67</v>
      </c>
      <c r="E72" s="19"/>
      <c r="F72" s="19"/>
      <c r="G72" s="4"/>
      <c r="H72" s="24"/>
      <c r="I72" s="37">
        <v>0.5</v>
      </c>
      <c r="J72" s="19"/>
      <c r="K72" s="19"/>
      <c r="L72" s="19"/>
      <c r="M72" s="19"/>
      <c r="N72" s="4"/>
      <c r="O72" s="29">
        <v>10.0</v>
      </c>
      <c r="P72" s="29">
        <v>6.0</v>
      </c>
      <c r="Q72" s="29">
        <v>4.0</v>
      </c>
      <c r="R72" s="29">
        <v>28.0</v>
      </c>
      <c r="S72" s="29">
        <v>10.0</v>
      </c>
    </row>
    <row r="73">
      <c r="A73" s="30" t="s">
        <v>178</v>
      </c>
      <c r="B73" s="53"/>
      <c r="C73" s="27"/>
      <c r="D73" s="52">
        <v>0.14</v>
      </c>
      <c r="E73" s="19"/>
      <c r="F73" s="19"/>
      <c r="G73" s="4"/>
      <c r="H73" s="62"/>
      <c r="I73" s="54">
        <v>0.01</v>
      </c>
      <c r="J73" s="19"/>
      <c r="K73" s="19"/>
      <c r="L73" s="19"/>
      <c r="M73" s="19"/>
      <c r="N73" s="4"/>
      <c r="O73" s="34">
        <v>180.0</v>
      </c>
      <c r="P73" s="34">
        <v>158.0</v>
      </c>
      <c r="Q73" s="34">
        <v>156.0</v>
      </c>
      <c r="R73" s="34">
        <v>139.0</v>
      </c>
      <c r="S73" s="34">
        <v>194.0</v>
      </c>
    </row>
    <row r="74">
      <c r="A74" s="23" t="s">
        <v>179</v>
      </c>
      <c r="B74" s="26"/>
      <c r="C74" s="27"/>
      <c r="D74" s="45">
        <v>0.5</v>
      </c>
      <c r="E74" s="19"/>
      <c r="F74" s="19"/>
      <c r="G74" s="4"/>
      <c r="H74" s="63" t="s">
        <v>150</v>
      </c>
      <c r="I74" s="19"/>
      <c r="J74" s="19"/>
      <c r="K74" s="19"/>
      <c r="L74" s="19"/>
      <c r="M74" s="19"/>
      <c r="N74" s="4"/>
      <c r="O74" s="29">
        <v>3.0</v>
      </c>
      <c r="P74" s="29">
        <v>2.0</v>
      </c>
      <c r="Q74" s="29" t="s">
        <v>150</v>
      </c>
      <c r="R74" s="29">
        <v>2.0</v>
      </c>
      <c r="S74" s="29">
        <v>5.0</v>
      </c>
    </row>
    <row r="75">
      <c r="A75" s="23" t="s">
        <v>180</v>
      </c>
      <c r="B75" s="49"/>
      <c r="C75" s="27"/>
      <c r="D75" s="45">
        <v>1.0</v>
      </c>
      <c r="E75" s="19"/>
      <c r="F75" s="19"/>
      <c r="G75" s="4"/>
      <c r="H75" s="26"/>
      <c r="I75" s="48">
        <v>-0.67</v>
      </c>
      <c r="J75" s="19"/>
      <c r="K75" s="19"/>
      <c r="L75" s="19"/>
      <c r="M75" s="19"/>
      <c r="N75" s="4"/>
      <c r="O75" s="29">
        <v>2.0</v>
      </c>
      <c r="P75" s="29">
        <v>1.0</v>
      </c>
      <c r="Q75" s="29">
        <v>3.0</v>
      </c>
      <c r="R75" s="29">
        <v>2.0</v>
      </c>
      <c r="S75" s="29">
        <v>2.0</v>
      </c>
    </row>
    <row r="76">
      <c r="A76" s="23" t="s">
        <v>181</v>
      </c>
      <c r="B76" s="26"/>
      <c r="C76" s="19"/>
      <c r="D76" s="58">
        <v>0.0</v>
      </c>
      <c r="E76" s="19"/>
      <c r="F76" s="19"/>
      <c r="G76" s="4"/>
      <c r="H76" s="42"/>
      <c r="I76" s="49"/>
      <c r="J76" s="19"/>
      <c r="K76" s="19"/>
      <c r="L76" s="19"/>
      <c r="M76" s="19"/>
      <c r="N76" s="61">
        <v>4.0</v>
      </c>
      <c r="O76" s="29">
        <v>5.0</v>
      </c>
      <c r="P76" s="29">
        <v>5.0</v>
      </c>
      <c r="Q76" s="29">
        <v>1.0</v>
      </c>
      <c r="R76" s="29">
        <v>5.0</v>
      </c>
      <c r="S76" s="29">
        <v>6.0</v>
      </c>
    </row>
    <row r="77">
      <c r="A77" s="23" t="s">
        <v>182</v>
      </c>
      <c r="B77" s="26"/>
      <c r="C77" s="19"/>
      <c r="D77" s="48">
        <v>-0.17</v>
      </c>
      <c r="E77" s="19"/>
      <c r="F77" s="19"/>
      <c r="G77" s="4"/>
      <c r="H77" s="24"/>
      <c r="I77" s="45">
        <v>0.33</v>
      </c>
      <c r="J77" s="19"/>
      <c r="K77" s="19"/>
      <c r="L77" s="19"/>
      <c r="M77" s="19"/>
      <c r="N77" s="4"/>
      <c r="O77" s="29">
        <v>20.0</v>
      </c>
      <c r="P77" s="29">
        <v>24.0</v>
      </c>
      <c r="Q77" s="29">
        <v>18.0</v>
      </c>
      <c r="R77" s="29">
        <v>14.0</v>
      </c>
      <c r="S77" s="29">
        <v>22.0</v>
      </c>
    </row>
    <row r="78">
      <c r="A78" s="23" t="s">
        <v>183</v>
      </c>
      <c r="B78" s="26"/>
      <c r="C78" s="19"/>
      <c r="D78" s="58">
        <v>-0.09</v>
      </c>
      <c r="E78" s="19"/>
      <c r="F78" s="19"/>
      <c r="G78" s="4"/>
      <c r="H78" s="24"/>
      <c r="I78" s="37">
        <v>0.39</v>
      </c>
      <c r="J78" s="19"/>
      <c r="K78" s="19"/>
      <c r="L78" s="19"/>
      <c r="M78" s="19"/>
      <c r="N78" s="4"/>
      <c r="O78" s="29">
        <v>29.0</v>
      </c>
      <c r="P78" s="29">
        <v>32.0</v>
      </c>
      <c r="Q78" s="29">
        <v>23.0</v>
      </c>
      <c r="R78" s="29">
        <v>22.0</v>
      </c>
      <c r="S78" s="29">
        <v>17.0</v>
      </c>
    </row>
    <row r="79">
      <c r="A79" s="23" t="s">
        <v>184</v>
      </c>
      <c r="B79" s="26"/>
      <c r="C79" s="48">
        <v>1.06</v>
      </c>
      <c r="D79" s="19"/>
      <c r="E79" s="19"/>
      <c r="F79" s="19"/>
      <c r="G79" s="4"/>
      <c r="H79" s="26"/>
      <c r="I79" s="48">
        <v>-0.32</v>
      </c>
      <c r="J79" s="19"/>
      <c r="K79" s="19"/>
      <c r="L79" s="19"/>
      <c r="M79" s="19"/>
      <c r="N79" s="4"/>
      <c r="O79" s="29">
        <v>35.0</v>
      </c>
      <c r="P79" s="29">
        <v>17.0</v>
      </c>
      <c r="Q79" s="29">
        <v>25.0</v>
      </c>
      <c r="R79" s="29">
        <v>22.0</v>
      </c>
      <c r="S79" s="29">
        <v>40.0</v>
      </c>
    </row>
    <row r="80">
      <c r="A80" s="23" t="s">
        <v>185</v>
      </c>
      <c r="B80" s="24"/>
      <c r="C80" s="37">
        <v>0.25</v>
      </c>
      <c r="D80" s="19"/>
      <c r="E80" s="19"/>
      <c r="F80" s="19"/>
      <c r="G80" s="4"/>
      <c r="H80" s="26"/>
      <c r="I80" s="48">
        <v>-0.3</v>
      </c>
      <c r="J80" s="19"/>
      <c r="K80" s="19"/>
      <c r="L80" s="19"/>
      <c r="M80" s="19"/>
      <c r="N80" s="4"/>
      <c r="O80" s="29">
        <v>20.0</v>
      </c>
      <c r="P80" s="29">
        <v>16.0</v>
      </c>
      <c r="Q80" s="29">
        <v>23.0</v>
      </c>
      <c r="R80" s="29">
        <v>19.0</v>
      </c>
      <c r="S80" s="29">
        <v>29.0</v>
      </c>
    </row>
    <row r="81">
      <c r="A81" s="23" t="s">
        <v>186</v>
      </c>
      <c r="B81" s="35"/>
      <c r="C81" s="36">
        <v>-0.2</v>
      </c>
      <c r="D81" s="19"/>
      <c r="E81" s="19"/>
      <c r="F81" s="19"/>
      <c r="G81" s="4"/>
      <c r="H81" s="24"/>
      <c r="I81" s="45">
        <v>0.17</v>
      </c>
      <c r="J81" s="19"/>
      <c r="K81" s="19"/>
      <c r="L81" s="19"/>
      <c r="M81" s="19"/>
      <c r="N81" s="4"/>
      <c r="O81" s="29">
        <v>33.0</v>
      </c>
      <c r="P81" s="29">
        <v>41.0</v>
      </c>
      <c r="Q81" s="29">
        <v>35.0</v>
      </c>
      <c r="R81" s="29">
        <v>22.0</v>
      </c>
      <c r="S81" s="29">
        <v>36.0</v>
      </c>
    </row>
    <row r="82">
      <c r="A82" s="23" t="s">
        <v>187</v>
      </c>
      <c r="B82" s="24"/>
      <c r="C82" s="37">
        <v>0.53</v>
      </c>
      <c r="D82" s="19"/>
      <c r="E82" s="19"/>
      <c r="F82" s="19"/>
      <c r="G82" s="4"/>
      <c r="H82" s="24"/>
      <c r="I82" s="45">
        <v>0.25</v>
      </c>
      <c r="J82" s="19"/>
      <c r="K82" s="19"/>
      <c r="L82" s="19"/>
      <c r="M82" s="19"/>
      <c r="N82" s="4"/>
      <c r="O82" s="29">
        <v>23.0</v>
      </c>
      <c r="P82" s="29">
        <v>15.0</v>
      </c>
      <c r="Q82" s="29">
        <v>12.0</v>
      </c>
      <c r="R82" s="29">
        <v>10.0</v>
      </c>
      <c r="S82" s="29">
        <v>15.0</v>
      </c>
    </row>
    <row r="83">
      <c r="A83" s="23" t="s">
        <v>188</v>
      </c>
      <c r="B83" s="42"/>
      <c r="C83" s="64"/>
      <c r="D83" s="45">
        <v>1.0</v>
      </c>
      <c r="E83" s="19"/>
      <c r="F83" s="19"/>
      <c r="G83" s="4"/>
      <c r="H83" s="35"/>
      <c r="I83" s="36">
        <v>-0.69</v>
      </c>
      <c r="J83" s="19"/>
      <c r="K83" s="19"/>
      <c r="L83" s="19"/>
      <c r="M83" s="19"/>
      <c r="N83" s="4"/>
      <c r="O83" s="29">
        <v>10.0</v>
      </c>
      <c r="P83" s="29">
        <v>5.0</v>
      </c>
      <c r="Q83" s="29">
        <v>16.0</v>
      </c>
      <c r="R83" s="29">
        <v>21.0</v>
      </c>
      <c r="S83" s="29">
        <v>22.0</v>
      </c>
    </row>
    <row r="84">
      <c r="A84" s="30" t="s">
        <v>189</v>
      </c>
      <c r="B84" s="51"/>
      <c r="C84" s="32">
        <v>0.16</v>
      </c>
      <c r="D84" s="19"/>
      <c r="E84" s="19"/>
      <c r="F84" s="19"/>
      <c r="G84" s="4"/>
      <c r="H84" s="51"/>
      <c r="I84" s="52">
        <v>0.55</v>
      </c>
      <c r="J84" s="19"/>
      <c r="K84" s="19"/>
      <c r="L84" s="19"/>
      <c r="M84" s="19"/>
      <c r="N84" s="4"/>
      <c r="O84" s="34">
        <v>101.0</v>
      </c>
      <c r="P84" s="34">
        <v>87.0</v>
      </c>
      <c r="Q84" s="34">
        <v>56.0</v>
      </c>
      <c r="R84" s="34">
        <v>76.0</v>
      </c>
      <c r="S84" s="34">
        <v>95.0</v>
      </c>
    </row>
    <row r="85">
      <c r="A85" s="23" t="s">
        <v>190</v>
      </c>
      <c r="B85" s="35"/>
      <c r="C85" s="36">
        <v>-0.44</v>
      </c>
      <c r="D85" s="19"/>
      <c r="E85" s="19"/>
      <c r="F85" s="19"/>
      <c r="G85" s="4"/>
      <c r="H85" s="42"/>
      <c r="I85" s="49"/>
      <c r="J85" s="19"/>
      <c r="K85" s="19"/>
      <c r="L85" s="48">
        <v>2.0</v>
      </c>
      <c r="M85" s="19"/>
      <c r="N85" s="4"/>
      <c r="O85" s="29">
        <v>5.0</v>
      </c>
      <c r="P85" s="29">
        <v>9.0</v>
      </c>
      <c r="Q85" s="29">
        <v>3.0</v>
      </c>
      <c r="R85" s="29">
        <v>12.0</v>
      </c>
      <c r="S85" s="29">
        <v>6.0</v>
      </c>
    </row>
    <row r="86">
      <c r="A86" s="23" t="s">
        <v>191</v>
      </c>
      <c r="B86" s="42"/>
      <c r="C86" s="65">
        <v>8.0</v>
      </c>
      <c r="D86" s="19"/>
      <c r="E86" s="19"/>
      <c r="F86" s="19"/>
      <c r="G86" s="4"/>
      <c r="H86" s="35"/>
      <c r="I86" s="36">
        <v>-0.5</v>
      </c>
      <c r="J86" s="19"/>
      <c r="K86" s="19"/>
      <c r="L86" s="19"/>
      <c r="M86" s="19"/>
      <c r="N86" s="4"/>
      <c r="O86" s="29">
        <v>9.0</v>
      </c>
      <c r="P86" s="29">
        <v>1.0</v>
      </c>
      <c r="Q86" s="29">
        <v>2.0</v>
      </c>
      <c r="R86" s="29">
        <v>5.0</v>
      </c>
      <c r="S86" s="29">
        <v>6.0</v>
      </c>
    </row>
    <row r="87">
      <c r="A87" s="23" t="s">
        <v>192</v>
      </c>
      <c r="B87" s="42"/>
      <c r="C87" s="43">
        <v>0.0</v>
      </c>
      <c r="D87" s="19"/>
      <c r="E87" s="19"/>
      <c r="F87" s="19"/>
      <c r="G87" s="4"/>
      <c r="H87" s="24"/>
      <c r="I87" s="45">
        <v>0.47</v>
      </c>
      <c r="J87" s="19"/>
      <c r="K87" s="19"/>
      <c r="L87" s="19"/>
      <c r="M87" s="19"/>
      <c r="N87" s="4"/>
      <c r="O87" s="29">
        <v>25.0</v>
      </c>
      <c r="P87" s="29">
        <v>25.0</v>
      </c>
      <c r="Q87" s="29">
        <v>17.0</v>
      </c>
      <c r="R87" s="29">
        <v>17.0</v>
      </c>
      <c r="S87" s="29">
        <v>26.0</v>
      </c>
    </row>
    <row r="88">
      <c r="A88" s="23" t="s">
        <v>193</v>
      </c>
      <c r="B88" s="24"/>
      <c r="C88" s="37">
        <v>0.14</v>
      </c>
      <c r="D88" s="19"/>
      <c r="E88" s="19"/>
      <c r="F88" s="19"/>
      <c r="G88" s="4"/>
      <c r="H88" s="24"/>
      <c r="I88" s="45">
        <v>0.57</v>
      </c>
      <c r="J88" s="19"/>
      <c r="K88" s="19"/>
      <c r="L88" s="19"/>
      <c r="M88" s="19"/>
      <c r="N88" s="4"/>
      <c r="O88" s="29">
        <v>25.0</v>
      </c>
      <c r="P88" s="29">
        <v>22.0</v>
      </c>
      <c r="Q88" s="29">
        <v>14.0</v>
      </c>
      <c r="R88" s="29">
        <v>17.0</v>
      </c>
      <c r="S88" s="29">
        <v>21.0</v>
      </c>
    </row>
    <row r="89">
      <c r="A89" s="23" t="s">
        <v>194</v>
      </c>
      <c r="B89" s="42"/>
      <c r="C89" s="43">
        <v>0.0</v>
      </c>
      <c r="D89" s="19"/>
      <c r="E89" s="19"/>
      <c r="F89" s="19"/>
      <c r="G89" s="4"/>
      <c r="H89" s="24"/>
      <c r="I89" s="37">
        <v>0.6</v>
      </c>
      <c r="J89" s="19"/>
      <c r="K89" s="19"/>
      <c r="L89" s="19"/>
      <c r="M89" s="19"/>
      <c r="N89" s="4"/>
      <c r="O89" s="29">
        <v>8.0</v>
      </c>
      <c r="P89" s="29">
        <v>8.0</v>
      </c>
      <c r="Q89" s="29">
        <v>5.0</v>
      </c>
      <c r="R89" s="29">
        <v>7.0</v>
      </c>
      <c r="S89" s="29">
        <v>11.0</v>
      </c>
    </row>
    <row r="90">
      <c r="A90" s="23" t="s">
        <v>195</v>
      </c>
      <c r="B90" s="24"/>
      <c r="C90" s="45">
        <v>0.33</v>
      </c>
      <c r="D90" s="19"/>
      <c r="E90" s="19"/>
      <c r="F90" s="19"/>
      <c r="G90" s="4"/>
      <c r="H90" s="35"/>
      <c r="I90" s="36">
        <v>-0.5</v>
      </c>
      <c r="J90" s="19"/>
      <c r="K90" s="19"/>
      <c r="L90" s="19"/>
      <c r="M90" s="19"/>
      <c r="N90" s="4"/>
      <c r="O90" s="29">
        <v>4.0</v>
      </c>
      <c r="P90" s="29">
        <v>3.0</v>
      </c>
      <c r="Q90" s="29">
        <v>6.0</v>
      </c>
      <c r="R90" s="29">
        <v>2.0</v>
      </c>
      <c r="S90" s="29">
        <v>5.0</v>
      </c>
    </row>
    <row r="91">
      <c r="A91" s="23" t="s">
        <v>196</v>
      </c>
      <c r="B91" s="42"/>
      <c r="C91" s="49"/>
      <c r="D91" s="19"/>
      <c r="E91" s="48">
        <v>3.0</v>
      </c>
      <c r="F91" s="19"/>
      <c r="G91" s="4"/>
      <c r="H91" s="63" t="s">
        <v>150</v>
      </c>
      <c r="I91" s="19"/>
      <c r="J91" s="19"/>
      <c r="K91" s="19"/>
      <c r="L91" s="19"/>
      <c r="M91" s="19"/>
      <c r="N91" s="4"/>
      <c r="O91" s="29">
        <v>4.0</v>
      </c>
      <c r="P91" s="29">
        <v>1.0</v>
      </c>
      <c r="Q91" s="23" t="s">
        <v>150</v>
      </c>
      <c r="R91" s="29">
        <v>2.0</v>
      </c>
      <c r="S91" s="23" t="s">
        <v>150</v>
      </c>
    </row>
    <row r="92">
      <c r="A92" s="23" t="s">
        <v>197</v>
      </c>
      <c r="B92" s="35"/>
      <c r="C92" s="36">
        <v>-0.25</v>
      </c>
      <c r="D92" s="19"/>
      <c r="E92" s="19"/>
      <c r="F92" s="19"/>
      <c r="G92" s="4"/>
      <c r="H92" s="24"/>
      <c r="I92" s="45">
        <v>0.6</v>
      </c>
      <c r="J92" s="19"/>
      <c r="K92" s="19"/>
      <c r="L92" s="19"/>
      <c r="M92" s="19"/>
      <c r="N92" s="4"/>
      <c r="O92" s="29">
        <v>6.0</v>
      </c>
      <c r="P92" s="29">
        <v>8.0</v>
      </c>
      <c r="Q92" s="29">
        <v>5.0</v>
      </c>
      <c r="R92" s="29">
        <v>5.0</v>
      </c>
      <c r="S92" s="29">
        <v>9.0</v>
      </c>
    </row>
    <row r="93">
      <c r="A93" s="23" t="s">
        <v>198</v>
      </c>
      <c r="B93" s="24"/>
      <c r="C93" s="37">
        <v>0.43</v>
      </c>
      <c r="D93" s="19"/>
      <c r="E93" s="19"/>
      <c r="F93" s="19"/>
      <c r="G93" s="4"/>
      <c r="H93" s="24"/>
      <c r="I93" s="45">
        <v>0.75</v>
      </c>
      <c r="J93" s="19"/>
      <c r="K93" s="19"/>
      <c r="L93" s="19"/>
      <c r="M93" s="19"/>
      <c r="N93" s="4"/>
      <c r="O93" s="29">
        <v>10.0</v>
      </c>
      <c r="P93" s="29">
        <v>7.0</v>
      </c>
      <c r="Q93" s="29">
        <v>4.0</v>
      </c>
      <c r="R93" s="29">
        <v>8.0</v>
      </c>
      <c r="S93" s="29">
        <v>10.0</v>
      </c>
    </row>
    <row r="94">
      <c r="A94" s="23" t="s">
        <v>199</v>
      </c>
      <c r="B94" s="42"/>
      <c r="C94" s="43">
        <v>0.0</v>
      </c>
      <c r="D94" s="19"/>
      <c r="E94" s="19"/>
      <c r="F94" s="19"/>
      <c r="G94" s="4"/>
      <c r="H94" s="63" t="s">
        <v>150</v>
      </c>
      <c r="I94" s="19"/>
      <c r="J94" s="19"/>
      <c r="K94" s="19"/>
      <c r="L94" s="19"/>
      <c r="M94" s="19"/>
      <c r="N94" s="4"/>
      <c r="O94" s="29">
        <v>3.0</v>
      </c>
      <c r="P94" s="29">
        <v>3.0</v>
      </c>
      <c r="Q94" s="23" t="s">
        <v>150</v>
      </c>
      <c r="R94" s="29">
        <v>1.0</v>
      </c>
      <c r="S94" s="29">
        <v>1.0</v>
      </c>
    </row>
    <row r="95">
      <c r="A95" s="23" t="s">
        <v>200</v>
      </c>
      <c r="B95" s="63" t="s">
        <v>150</v>
      </c>
      <c r="C95" s="19"/>
      <c r="D95" s="19"/>
      <c r="E95" s="19"/>
      <c r="F95" s="19"/>
      <c r="G95" s="4"/>
      <c r="H95" s="63" t="s">
        <v>150</v>
      </c>
      <c r="I95" s="19"/>
      <c r="J95" s="19"/>
      <c r="K95" s="19"/>
      <c r="L95" s="19"/>
      <c r="M95" s="19"/>
      <c r="N95" s="4"/>
      <c r="O95" s="29">
        <v>2.0</v>
      </c>
      <c r="P95" s="29" t="s">
        <v>150</v>
      </c>
      <c r="Q95" s="23" t="s">
        <v>150</v>
      </c>
      <c r="R95" s="29" t="s">
        <v>150</v>
      </c>
      <c r="S95" s="23" t="s">
        <v>150</v>
      </c>
    </row>
  </sheetData>
  <mergeCells count="276">
    <mergeCell ref="I64:N64"/>
    <mergeCell ref="I65:N65"/>
    <mergeCell ref="D61:G61"/>
    <mergeCell ref="D62:G62"/>
    <mergeCell ref="D63:G63"/>
    <mergeCell ref="I63:J63"/>
    <mergeCell ref="K63:N63"/>
    <mergeCell ref="D64:G64"/>
    <mergeCell ref="D65:G65"/>
    <mergeCell ref="B53:C53"/>
    <mergeCell ref="B54:C54"/>
    <mergeCell ref="B55:C55"/>
    <mergeCell ref="B56:C56"/>
    <mergeCell ref="B57:C57"/>
    <mergeCell ref="B58:C58"/>
    <mergeCell ref="B59:C59"/>
    <mergeCell ref="B71:C71"/>
    <mergeCell ref="B72:C72"/>
    <mergeCell ref="B73:C73"/>
    <mergeCell ref="B74:C74"/>
    <mergeCell ref="B75:C75"/>
    <mergeCell ref="B76:C76"/>
    <mergeCell ref="B77:C77"/>
    <mergeCell ref="B78:C78"/>
    <mergeCell ref="B60:C60"/>
    <mergeCell ref="B61:C61"/>
    <mergeCell ref="B62:C62"/>
    <mergeCell ref="B63:C63"/>
    <mergeCell ref="B64:C64"/>
    <mergeCell ref="B65:C65"/>
    <mergeCell ref="B66:C66"/>
    <mergeCell ref="B69:C69"/>
    <mergeCell ref="B70:C70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C79:G79"/>
    <mergeCell ref="C80:G80"/>
    <mergeCell ref="C81:G81"/>
    <mergeCell ref="C89:G89"/>
    <mergeCell ref="C90:G90"/>
    <mergeCell ref="C91:D91"/>
    <mergeCell ref="E91:G91"/>
    <mergeCell ref="C92:G92"/>
    <mergeCell ref="C93:G93"/>
    <mergeCell ref="C94:G94"/>
    <mergeCell ref="B95:G95"/>
    <mergeCell ref="C82:G82"/>
    <mergeCell ref="D83:G83"/>
    <mergeCell ref="C84:G84"/>
    <mergeCell ref="C85:G85"/>
    <mergeCell ref="C86:G86"/>
    <mergeCell ref="C87:G87"/>
    <mergeCell ref="C88:G88"/>
    <mergeCell ref="I77:N77"/>
    <mergeCell ref="I78:N78"/>
    <mergeCell ref="I79:N79"/>
    <mergeCell ref="I80:N80"/>
    <mergeCell ref="I81:N81"/>
    <mergeCell ref="I82:N82"/>
    <mergeCell ref="I83:N83"/>
    <mergeCell ref="I90:N90"/>
    <mergeCell ref="H91:N91"/>
    <mergeCell ref="I92:N92"/>
    <mergeCell ref="I93:N93"/>
    <mergeCell ref="H94:N94"/>
    <mergeCell ref="H95:N95"/>
    <mergeCell ref="I84:N84"/>
    <mergeCell ref="I85:K85"/>
    <mergeCell ref="L85:N85"/>
    <mergeCell ref="I86:N86"/>
    <mergeCell ref="I87:N87"/>
    <mergeCell ref="I88:N88"/>
    <mergeCell ref="I89:N89"/>
    <mergeCell ref="B47:C47"/>
    <mergeCell ref="D47:G47"/>
    <mergeCell ref="I47:N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D53:F53"/>
    <mergeCell ref="I48:N48"/>
    <mergeCell ref="I49:N49"/>
    <mergeCell ref="I50:N50"/>
    <mergeCell ref="I51:N51"/>
    <mergeCell ref="I52:N52"/>
    <mergeCell ref="I53:N53"/>
    <mergeCell ref="I54:N54"/>
    <mergeCell ref="D54:G54"/>
    <mergeCell ref="D55:G55"/>
    <mergeCell ref="D56:G56"/>
    <mergeCell ref="D57:G57"/>
    <mergeCell ref="D58:G58"/>
    <mergeCell ref="D59:G59"/>
    <mergeCell ref="D60:G60"/>
    <mergeCell ref="D66:G66"/>
    <mergeCell ref="I66:N66"/>
    <mergeCell ref="D67:G67"/>
    <mergeCell ref="I67:L67"/>
    <mergeCell ref="M67:N67"/>
    <mergeCell ref="B67:C67"/>
    <mergeCell ref="B68:C68"/>
    <mergeCell ref="D68:G68"/>
    <mergeCell ref="I68:J68"/>
    <mergeCell ref="K68:N68"/>
    <mergeCell ref="D69:G69"/>
    <mergeCell ref="I69:N69"/>
    <mergeCell ref="I70:N70"/>
    <mergeCell ref="I71:N71"/>
    <mergeCell ref="I72:N72"/>
    <mergeCell ref="I73:N73"/>
    <mergeCell ref="H74:N74"/>
    <mergeCell ref="I75:N75"/>
    <mergeCell ref="I76:M76"/>
    <mergeCell ref="A1:A2"/>
    <mergeCell ref="B1:G2"/>
    <mergeCell ref="H1:N2"/>
    <mergeCell ref="O1:S1"/>
    <mergeCell ref="C3:G3"/>
    <mergeCell ref="H3:I3"/>
    <mergeCell ref="J3:N3"/>
    <mergeCell ref="H6:I6"/>
    <mergeCell ref="J6:N6"/>
    <mergeCell ref="C4:G4"/>
    <mergeCell ref="H4:I4"/>
    <mergeCell ref="J4:N4"/>
    <mergeCell ref="C5:G5"/>
    <mergeCell ref="H5:I5"/>
    <mergeCell ref="J5:N5"/>
    <mergeCell ref="C6:G6"/>
    <mergeCell ref="H9:I9"/>
    <mergeCell ref="J9:N9"/>
    <mergeCell ref="C7:G7"/>
    <mergeCell ref="H7:I7"/>
    <mergeCell ref="J7:N7"/>
    <mergeCell ref="C8:G8"/>
    <mergeCell ref="H8:I8"/>
    <mergeCell ref="J8:N8"/>
    <mergeCell ref="C9:G9"/>
    <mergeCell ref="H12:I12"/>
    <mergeCell ref="J12:N12"/>
    <mergeCell ref="D10:G10"/>
    <mergeCell ref="H10:I10"/>
    <mergeCell ref="J10:N10"/>
    <mergeCell ref="C11:G11"/>
    <mergeCell ref="H11:I11"/>
    <mergeCell ref="J11:N11"/>
    <mergeCell ref="C12:G12"/>
    <mergeCell ref="D13:G13"/>
    <mergeCell ref="H13:I13"/>
    <mergeCell ref="J13:N13"/>
    <mergeCell ref="C14:G14"/>
    <mergeCell ref="H14:I14"/>
    <mergeCell ref="J14:N14"/>
    <mergeCell ref="C15:E15"/>
    <mergeCell ref="J15:N15"/>
    <mergeCell ref="F15:G15"/>
    <mergeCell ref="H15:I15"/>
    <mergeCell ref="C16:G16"/>
    <mergeCell ref="H16:I16"/>
    <mergeCell ref="J16:N16"/>
    <mergeCell ref="H17:I17"/>
    <mergeCell ref="J17:N17"/>
    <mergeCell ref="C17:G17"/>
    <mergeCell ref="C18:G18"/>
    <mergeCell ref="H18:I18"/>
    <mergeCell ref="J18:N18"/>
    <mergeCell ref="C19:G19"/>
    <mergeCell ref="H19:I19"/>
    <mergeCell ref="J19:N19"/>
    <mergeCell ref="H22:I22"/>
    <mergeCell ref="J22:N22"/>
    <mergeCell ref="C20:G20"/>
    <mergeCell ref="H20:I20"/>
    <mergeCell ref="J20:N20"/>
    <mergeCell ref="B21:G21"/>
    <mergeCell ref="H21:I21"/>
    <mergeCell ref="J21:N21"/>
    <mergeCell ref="C22:G22"/>
    <mergeCell ref="H25:I25"/>
    <mergeCell ref="J25:N25"/>
    <mergeCell ref="C23:G23"/>
    <mergeCell ref="H23:I23"/>
    <mergeCell ref="J23:N23"/>
    <mergeCell ref="C24:G24"/>
    <mergeCell ref="H24:I24"/>
    <mergeCell ref="J24:N24"/>
    <mergeCell ref="C25:G25"/>
    <mergeCell ref="C35:G35"/>
    <mergeCell ref="H35:I35"/>
    <mergeCell ref="J35:N35"/>
    <mergeCell ref="C36:E36"/>
    <mergeCell ref="F36:G36"/>
    <mergeCell ref="H36:I36"/>
    <mergeCell ref="J36:N36"/>
    <mergeCell ref="C37:G37"/>
    <mergeCell ref="H37:I37"/>
    <mergeCell ref="J37:N37"/>
    <mergeCell ref="B38:C38"/>
    <mergeCell ref="D38:G38"/>
    <mergeCell ref="I38:J38"/>
    <mergeCell ref="K38:N38"/>
    <mergeCell ref="I40:N40"/>
    <mergeCell ref="I41:N41"/>
    <mergeCell ref="B39:C39"/>
    <mergeCell ref="D39:G39"/>
    <mergeCell ref="I39:N39"/>
    <mergeCell ref="B40:C40"/>
    <mergeCell ref="D40:G40"/>
    <mergeCell ref="B41:C41"/>
    <mergeCell ref="D41:G41"/>
    <mergeCell ref="I43:N43"/>
    <mergeCell ref="I44:N44"/>
    <mergeCell ref="B42:C42"/>
    <mergeCell ref="D42:G42"/>
    <mergeCell ref="I42:N42"/>
    <mergeCell ref="B43:C43"/>
    <mergeCell ref="D43:G43"/>
    <mergeCell ref="B44:C44"/>
    <mergeCell ref="D44:G44"/>
    <mergeCell ref="H28:I28"/>
    <mergeCell ref="J28:N28"/>
    <mergeCell ref="D26:G26"/>
    <mergeCell ref="H26:I26"/>
    <mergeCell ref="J26:N26"/>
    <mergeCell ref="C27:G27"/>
    <mergeCell ref="H27:I27"/>
    <mergeCell ref="J27:N27"/>
    <mergeCell ref="C28:G28"/>
    <mergeCell ref="H31:I31"/>
    <mergeCell ref="J31:N31"/>
    <mergeCell ref="C29:G29"/>
    <mergeCell ref="H29:I29"/>
    <mergeCell ref="J29:N29"/>
    <mergeCell ref="C30:G30"/>
    <mergeCell ref="H30:I30"/>
    <mergeCell ref="J30:N30"/>
    <mergeCell ref="B31:G31"/>
    <mergeCell ref="H34:I34"/>
    <mergeCell ref="J34:N34"/>
    <mergeCell ref="D32:G32"/>
    <mergeCell ref="H32:I32"/>
    <mergeCell ref="J32:N32"/>
    <mergeCell ref="C33:G33"/>
    <mergeCell ref="H33:I33"/>
    <mergeCell ref="J33:N33"/>
    <mergeCell ref="C34:G34"/>
    <mergeCell ref="B45:C45"/>
    <mergeCell ref="D45:G45"/>
    <mergeCell ref="I45:J45"/>
    <mergeCell ref="K45:N45"/>
    <mergeCell ref="B46:C46"/>
    <mergeCell ref="E46:G46"/>
    <mergeCell ref="I46:N46"/>
    <mergeCell ref="I61:N61"/>
    <mergeCell ref="I62:N62"/>
    <mergeCell ref="I55:N55"/>
    <mergeCell ref="I56:N56"/>
    <mergeCell ref="I57:N57"/>
    <mergeCell ref="I58:J58"/>
    <mergeCell ref="K58:N58"/>
    <mergeCell ref="I59:N59"/>
    <mergeCell ref="I60:N60"/>
  </mergeCells>
  <drawing r:id="rId1"/>
</worksheet>
</file>